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PGF - Lot 04" sheetId="1" r:id="rId5"/>
    <sheet state="visible" name="BPU - Lot 04" sheetId="2" r:id="rId6"/>
    <sheet state="visible" name="DQE - Lot 04" sheetId="3" r:id="rId7"/>
    <sheet state="visible" name="Récapitulatif" sheetId="4" r:id="rId8"/>
  </sheets>
  <definedNames/>
  <calcPr/>
</workbook>
</file>

<file path=xl/sharedStrings.xml><?xml version="1.0" encoding="utf-8"?>
<sst xmlns="http://schemas.openxmlformats.org/spreadsheetml/2006/main" count="446" uniqueCount="306">
  <si>
    <t>RÉSIDENCE MUSKA — FRONTIGNAN (34110)
DÉCOMPOSITION DU PRIX GLOBAL ET FORFAITAIRE (DPGF)
LOT 04 — PLÂTRERIE / DOUBLAGES / FAUX-PLAFONDS</t>
  </si>
  <si>
    <t>SCCV Muska / TerraOccitana SAS  —  Architecte : Cabinet B2BA / Pauline Barbat  —  Avril 2026</t>
  </si>
  <si>
    <t>Entreprise candidate :</t>
  </si>
  <si>
    <t>Date de remise de l'offre :</t>
  </si>
  <si>
    <t>IMPORTANT — Lot 04 : PAS de distinction Libre / Social-Abordable. Prestations identiques pour tous les 69 logements et parties communes. TVA 20% sur logements Libre (30) + PC ; TVA 10% sur logements sociaux (26) et abordables (13). L'entreprise détaille la répartition TVA dans sa DPGF.</t>
  </si>
  <si>
    <t xml:space="preserve">  Saisie entreprise (bleu)</t>
  </si>
  <si>
    <t xml:space="preserve">  Calcul auto</t>
  </si>
  <si>
    <t xml:space="preserve">  Sous-total / Total</t>
  </si>
  <si>
    <t xml:space="preserve">  Section</t>
  </si>
  <si>
    <t>N° Poste</t>
  </si>
  <si>
    <t>Désignation de l'ouvrage</t>
  </si>
  <si>
    <t>Unité</t>
  </si>
  <si>
    <t>Quantité indicative</t>
  </si>
  <si>
    <t>Prix unitaire HT (€)
[à saisir]</t>
  </si>
  <si>
    <t>Montant forfaitaire HT (€)
[à saisir / vérifier]</t>
  </si>
  <si>
    <t>TVA (%)</t>
  </si>
  <si>
    <t>Montant TTC (€)</t>
  </si>
  <si>
    <t>1. CLOISONS DE DISTRIBUTION INTÉRIEURE</t>
  </si>
  <si>
    <t>04.1.01</t>
  </si>
  <si>
    <t>Cloison de distribution 72/48 — 1 plaque BA13 chaque face, laine minérale 45mm. Rw ≥ 38 dB. Finition Q3. Inclus : huisseries, feuillures, joints acoustiques périmètre.</t>
  </si>
  <si>
    <t>m²</t>
  </si>
  <si>
    <t>04.1.02</t>
  </si>
  <si>
    <t>Cloison séparative entre logements 72/70 — 2 plaques BA13 chaque face, laine minérale 70mm. DnT,A ≥ 53 dB (exigence CCTP logements mitoyens). Joints acoustiques obligatoires.</t>
  </si>
  <si>
    <t>04.1.03</t>
  </si>
  <si>
    <t>Cloison humide (SDB/WC) — plaque hydrofuge BA13H chaque face, laine minérale. Finition Q3.</t>
  </si>
  <si>
    <t>04.1.04</t>
  </si>
  <si>
    <t>Plus-value cloison courbe (rayon ≥ 1,00 m)</t>
  </si>
  <si>
    <t>ml</t>
  </si>
  <si>
    <t>04.1.05</t>
  </si>
  <si>
    <t>Ossature métallique complémentaire (renfort autour de baies, gaines techniques)</t>
  </si>
  <si>
    <t>Sous-total 1 — Cloisons de distribution HT</t>
  </si>
  <si>
    <t>2. DOUBLAGES THERMIQUES ET ACOUSTIQUES (Murs périphériques et refends)</t>
  </si>
  <si>
    <t>04.2.01</t>
  </si>
  <si>
    <t>Doublage collé ou sur ossature — complexe isolant laine minérale 100mm + plaque BA13. R ≥ 3,70 m².K/W (RE2020). Finition Q3. Inclus : joints périphériques.</t>
  </si>
  <si>
    <t>04.2.02</t>
  </si>
  <si>
    <t>Doublage acoustique murs mitoyens logements — complexe laine minérale 45mm + plaque BA13. DnT,A ≥ 53 dB.</t>
  </si>
  <si>
    <t>04.2.03</t>
  </si>
  <si>
    <t>Doublage sous-face plancher bas (isolation plancher sur terre-plein ou sur vide sanitaire)</t>
  </si>
  <si>
    <t>04.2.04</t>
  </si>
  <si>
    <t>Traitement ponts thermiques : bandes résilientes périphériques, joints élastomères, manchons isolants</t>
  </si>
  <si>
    <t>ft</t>
  </si>
  <si>
    <t>04.2.05</t>
  </si>
  <si>
    <t>Relevés d'étanchéité à l'air (membranes frein-vapeur, rubans d'étanchéité) — conformité RE2020 perméabilité</t>
  </si>
  <si>
    <t>Sous-total 2 — Doublages thermiques et acoustiques HT</t>
  </si>
  <si>
    <t>3. FAUX-PLAFONDS SUSPENDUS ET PLAFONDS PLÂTRE</t>
  </si>
  <si>
    <t>04.3.01</t>
  </si>
  <si>
    <t>Faux-plafond suspendu sur ossature métallique — plaque BA13. Finition Q3. Inclus : suspentes, cornières périmètre, joints. Pièces sèches logements.</t>
  </si>
  <si>
    <t>04.3.02</t>
  </si>
  <si>
    <t>Faux-plafond humide — plaque BA13H. Pièces humides (SDB, WC, cuisine). Finition Q3.</t>
  </si>
  <si>
    <t>04.3.03</t>
  </si>
  <si>
    <t>Faux-plafond acoustique — plaque perforée ou système absorbant (halls, circulations PC). Absorption αw ≥ 0,80.</t>
  </si>
  <si>
    <t>04.3.04</t>
  </si>
  <si>
    <t>Plafond tendu ou enduit projeté sur béton brut (option sous-face dalles BA visibles)</t>
  </si>
  <si>
    <t>04.3.05</t>
  </si>
  <si>
    <t>Trappe de visite 60×60 pour accès gaines (coordonnée avec CVC et électricité)</t>
  </si>
  <si>
    <t>u</t>
  </si>
  <si>
    <t>04.3.06</t>
  </si>
  <si>
    <t>Habillage gaines techniques verticales (plaque BA13 sur ossature)</t>
  </si>
  <si>
    <t>Sous-total 3 — Faux-plafonds HT</t>
  </si>
  <si>
    <t>4. ENDUITS ET FINITIONS PLÂTRE / STAFF</t>
  </si>
  <si>
    <t>04.4.01</t>
  </si>
  <si>
    <t>Enduit de finition lissé Q4 (sur plaques ou béton) — pièces nobles logements Libre (séjour, couloir, chambres). Ponçage et finition très soignée.</t>
  </si>
  <si>
    <t>04.4.02</t>
  </si>
  <si>
    <t>Enduit de finition lissé Q3 — logements social/abordable et parties communes.</t>
  </si>
  <si>
    <t>04.4.03</t>
  </si>
  <si>
    <t>Enduit de ragréage et rebouchage sur supports béton (reprise de coffrages, irrégularités)</t>
  </si>
  <si>
    <t>04.4.04</t>
  </si>
  <si>
    <t>Baguettes d'angles (arêtes, tableaux de fenêtres) — aluminium ou acier galvanisé</t>
  </si>
  <si>
    <t>04.4.05</t>
  </si>
  <si>
    <t>Calicot armé sur joints de plaques et fissures</t>
  </si>
  <si>
    <t>Sous-total 4 — Enduits et finitions HT</t>
  </si>
  <si>
    <t>5. PEINTURES INTÉRIEURES (Murs et plafonds)</t>
  </si>
  <si>
    <t>04.5.01</t>
  </si>
  <si>
    <t>Peinture murs et plafonds — 2 couches peinture acrylique mate blanche — logements Libre (finition soignée, impression + 2 couches finition).</t>
  </si>
  <si>
    <t>04.5.02</t>
  </si>
  <si>
    <t>Peinture murs et plafonds — 2 couches peinture acrylique mate blanche — logements Social/Abordable.</t>
  </si>
  <si>
    <t>04.5.03</t>
  </si>
  <si>
    <t>Peinture parties communes (halls, couloirs, cages d'escalier) — peinture lessivable résistante.</t>
  </si>
  <si>
    <t>04.5.04</t>
  </si>
  <si>
    <t>Peinture portes palières et portes intérieures bois (laque glycéro satinée blanche — 2 faces)</t>
  </si>
  <si>
    <t>04.5.05</t>
  </si>
  <si>
    <t>Peinture plinthes et boiseries (laque satinée ou glycéro)</t>
  </si>
  <si>
    <t>Sous-total 5 — Peintures intérieures HT</t>
  </si>
  <si>
    <t>6. ISOLATION ACOUSTIQUE DES PLANCHERS (Chapes flottantes / sous-couches)</t>
  </si>
  <si>
    <t>04.6.01</t>
  </si>
  <si>
    <t>Sous-couche acoustique résiliente sous chape (Lw ≥ 27 dB) — coordination avec GO et lot carrelage. L'nT,w ≤ 58 dB (exigence CCTP).</t>
  </si>
  <si>
    <t>04.6.02</t>
  </si>
  <si>
    <t>Bande résiliente périphérique de chape (désolidarisation chape / cloison). Pose continue.</t>
  </si>
  <si>
    <t>04.6.03</t>
  </si>
  <si>
    <t>Essais acoustiques COFRAC sur logements Libre : mesure DnT,A et L'nT,w — 100% des logements Libre. PV à remettre dans le DOE.</t>
  </si>
  <si>
    <t>Sous-total 6 — Isolation acoustique planchers HT</t>
  </si>
  <si>
    <t>7. INSTALLATION DE CHANTIER &amp; PRESTATIONS GÉNÉRALES LOT 04</t>
  </si>
  <si>
    <t>04.7.01</t>
  </si>
  <si>
    <t>Installation et repliement de chantier Lot 04 (protection ouvrages, local matériaux, nettoyage)</t>
  </si>
  <si>
    <t>04.7.02</t>
  </si>
  <si>
    <t>Coordination interfaces : réservations GO (vérification avant plaquistage), passage gaines CVC et électricité (fourreaux), joints de dilatation.</t>
  </si>
  <si>
    <t>04.7.03</t>
  </si>
  <si>
    <t>Essais de réception : planéité Q3/Q4 (règle 2m), verticalité, vérification joint acoustique périmètre. PV remis au MOE.</t>
  </si>
  <si>
    <t>04.7.04</t>
  </si>
  <si>
    <t>DOE complet (Dossier des Ouvrages Exécutés) : fiches techniques, PV acoustiques, plans d'exécution</t>
  </si>
  <si>
    <t>04.7.05</t>
  </si>
  <si>
    <t>Gestion et tri des déchets plâtre (filière agréée recyclage plâtre — obligations RE2020 / chantier propre)</t>
  </si>
  <si>
    <t>Sous-total 7 — Installation &amp; prestations générales HT</t>
  </si>
  <si>
    <t>TOTAL GÉNÉRAL LOT 04 — MONTANT GLOBAL FORFAITAIRE HT</t>
  </si>
  <si>
    <t>⚠  Ce montant constitue le PRIX GLOBAL ET FORFAITAIRE du marché Lot 04. L'entreprise assume le risque quantitatif. Sauf modification du programme, le prix est ferme. Révision possible selon formule CCAP (indice BT01 plâtrerie).</t>
  </si>
  <si>
    <t>RÉSIDENCE MUSKA — FRONTIGNAN (34110)
BORDEREAU DES PRIX UNITAIRES (BPU)
LOT 04 — PLÂTRERIE / DOUBLAGES / FAUX-PLAFONDS</t>
  </si>
  <si>
    <t>Le BPU liste tous les prix unitaires SANS quantités. Il est rempli par l'entreprise, devient contractuel à la signature. Il sert à chiffrer les travaux supplémentaires (TS), TMA acquéreurs, et avenants. Chaque prix doit préciser : fourniture + pose, sauf mention contraire.</t>
  </si>
  <si>
    <t xml:space="preserve">  Prix unitaire à saisir (bleu)</t>
  </si>
  <si>
    <t xml:space="preserve">  F+P sauf mention</t>
  </si>
  <si>
    <t>N° Prix</t>
  </si>
  <si>
    <t>Désignation de la prestation</t>
  </si>
  <si>
    <t>Observations</t>
  </si>
  <si>
    <t>SECTION A — CLOISONS DE DISTRIBUTION</t>
  </si>
  <si>
    <t>P.04A.01</t>
  </si>
  <si>
    <t>Cloison distribution 72/48 — BA13 chaque face + laine minérale 45mm — Rw ≥ 38 dB</t>
  </si>
  <si>
    <t>F+P, joints acoustiques inclus</t>
  </si>
  <si>
    <t>P.04A.02</t>
  </si>
  <si>
    <t>Cloison séparative logements 72/70 — 2×BA13 + LM 70mm — DnT,A ≥ 53 dB</t>
  </si>
  <si>
    <t>P.04A.03</t>
  </si>
  <si>
    <t>Cloison humide BA13H</t>
  </si>
  <si>
    <t>F+P</t>
  </si>
  <si>
    <t>P.04A.04</t>
  </si>
  <si>
    <t>Plus-value cloison courbe</t>
  </si>
  <si>
    <t>P.04A.05</t>
  </si>
  <si>
    <t>Ossature métallique complémentaire (renforts, gaines)</t>
  </si>
  <si>
    <t>P.04A.06</t>
  </si>
  <si>
    <t>Dépose et repose cloison (TS éventuel — TMA acquéreur)</t>
  </si>
  <si>
    <t>SECTION B — DOUBLAGES THERMIQUES ET ACOUSTIQUES</t>
  </si>
  <si>
    <t>P.04B.01</t>
  </si>
  <si>
    <t>Doublage thermique sur ossature — LM 100mm + BA13 — R ≥ 3,70 m².K/W</t>
  </si>
  <si>
    <t>Conforme RE2020</t>
  </si>
  <si>
    <t>P.04B.02</t>
  </si>
  <si>
    <t>Doublage acoustique murs mitoyens — LM 45mm + BA13</t>
  </si>
  <si>
    <t>P.04B.03</t>
  </si>
  <si>
    <t>Doublage sous-face plancher bas</t>
  </si>
  <si>
    <t>P.04B.04</t>
  </si>
  <si>
    <t>Bande résiliente périphérique (traitement pont acoustique)</t>
  </si>
  <si>
    <t>P.04B.05</t>
  </si>
  <si>
    <t>Membrane frein-vapeur + ruban d'étanchéité à l'air (RE2020)</t>
  </si>
  <si>
    <t>SECTION C — FAUX-PLAFONDS</t>
  </si>
  <si>
    <t>P.04C.01</t>
  </si>
  <si>
    <t>Faux-plafond suspendu BA13 — pièces sèches</t>
  </si>
  <si>
    <t>F+P, ossature + suspentes</t>
  </si>
  <si>
    <t>P.04C.02</t>
  </si>
  <si>
    <t>Faux-plafond BA13H — pièces humides</t>
  </si>
  <si>
    <t>P.04C.03</t>
  </si>
  <si>
    <t>Faux-plafond acoustique absorbant (αw ≥ 0,80) — parties communes</t>
  </si>
  <si>
    <t>P.04C.04</t>
  </si>
  <si>
    <t>Plafond tendu ou projeté sous-face dalle</t>
  </si>
  <si>
    <t>P.04C.05</t>
  </si>
  <si>
    <t>Trappe de visite 60×60 — F+P</t>
  </si>
  <si>
    <t>P.04C.06</t>
  </si>
  <si>
    <t>Habillage gaine technique verticale BA13</t>
  </si>
  <si>
    <t>P.04C.07</t>
  </si>
  <si>
    <t>Dépose et repose faux-plafond (TS / accès gaines)</t>
  </si>
  <si>
    <t>SECTION D — ENDUITS ET FINITIONS</t>
  </si>
  <si>
    <t>P.04D.01</t>
  </si>
  <si>
    <t>Enduit de finition lissé Q4 (sur plaques ou béton)</t>
  </si>
  <si>
    <t>Pièces nobles Libre</t>
  </si>
  <si>
    <t>P.04D.02</t>
  </si>
  <si>
    <t>Enduit de finition lissé Q3</t>
  </si>
  <si>
    <t>P.04D.03</t>
  </si>
  <si>
    <t>Enduit de ragréage / rebouchage béton brut</t>
  </si>
  <si>
    <t>P.04D.04</t>
  </si>
  <si>
    <t>Baguette d'angle aluminium ou acier galvanisé</t>
  </si>
  <si>
    <t>P.04D.05</t>
  </si>
  <si>
    <t>Calicot armé sur joints de plaques / fissures</t>
  </si>
  <si>
    <t>SECTION E — PEINTURES INTÉRIEURES</t>
  </si>
  <si>
    <t>P.04E.01</t>
  </si>
  <si>
    <t>Peinture murs + plafonds — acrylique mate blanche — impression + 2 couches — Libre</t>
  </si>
  <si>
    <t>P.04E.02</t>
  </si>
  <si>
    <t>Peinture murs + plafonds — acrylique mate blanche — 2 couches — Social/Abordable</t>
  </si>
  <si>
    <t>P.04E.03</t>
  </si>
  <si>
    <t>Peinture parties communes — lessivable résistante</t>
  </si>
  <si>
    <t>P.04E.04</t>
  </si>
  <si>
    <t>Peinture portes (laque glycéro satinée blanche — 2 faces)</t>
  </si>
  <si>
    <t>P.04E.05</t>
  </si>
  <si>
    <t>Peinture plinthes et boiseries (laque satinée)</t>
  </si>
  <si>
    <t>P.04E.06</t>
  </si>
  <si>
    <t>Enduit de rebouchage avant peinture (TS / reprise)</t>
  </si>
  <si>
    <t>SECTION F — ISOLATION ACOUSTIQUE PLANCHERS</t>
  </si>
  <si>
    <t>P.04F.01</t>
  </si>
  <si>
    <t>Sous-couche acoustique résiliente sous chape (Lw ≥ 27 dB)</t>
  </si>
  <si>
    <t>Coordonné GO + Lot 03</t>
  </si>
  <si>
    <t>P.04F.02</t>
  </si>
  <si>
    <t>Bande résiliente périphérique de chape</t>
  </si>
  <si>
    <t>P.04F.03</t>
  </si>
  <si>
    <t>Essais acoustiques COFRAC (DnT,A + L'nT,w) logements Libre</t>
  </si>
  <si>
    <t>100% logements Libre — PV DOE</t>
  </si>
  <si>
    <t>SECTION G — PRESTATIONS GÉNÉRALES</t>
  </si>
  <si>
    <t>P.04G.01</t>
  </si>
  <si>
    <t>Installation et repliement de chantier Lot 04</t>
  </si>
  <si>
    <t>P.04G.02</t>
  </si>
  <si>
    <t>Coordination interfaces GO / CVC / électricité</t>
  </si>
  <si>
    <t>P.04G.03</t>
  </si>
  <si>
    <t>DOE complet (fiches techniques, PV, plans exécution)</t>
  </si>
  <si>
    <t>P.04G.04</t>
  </si>
  <si>
    <t>Gestion et tri déchets plâtre (filière agréée recyclage)</t>
  </si>
  <si>
    <t>⚠  Le BPU est contractuel une fois signé. Chaque prix doit inclure F+P sauf mention contraire. Un BPU incomplet est source de litiges en cours de chantier (cf. cours Bachelor PI).</t>
  </si>
  <si>
    <t>RÉSIDENCE MUSKA — FRONTIGNAN (34110)
DÉTAIL QUANTITATIF ESTIMATIF (DQE)
LOT 04 — PLÂTRERIE / DOUBLAGES / FAUX-PLAFONDS</t>
  </si>
  <si>
    <t>SCCV Muska / TerraOccitana SAS  —  Économiste : À compléter  —  Base plans PRO B2BA — Avril 2026</t>
  </si>
  <si>
    <t>STATUT DQE — Les quantités sont INDICATIVES et fournies par l'économiste (base plans PRO). Elles permettent la comparaison homogène des offres. Le DQE est généralement NON contractuel. Le règlement s'effectue sur la DPGF (prix forfaitaire ferme). Source : cours Bachelor PI.</t>
  </si>
  <si>
    <t>Désignation</t>
  </si>
  <si>
    <t>Quantité estimée</t>
  </si>
  <si>
    <t>Prix unitaire HT (€)
[BPU entreprise]</t>
  </si>
  <si>
    <t>Montant estimatif HT (€)</t>
  </si>
  <si>
    <t>Montant TTC estimatif (€)</t>
  </si>
  <si>
    <t>1. CLOISONS DE DISTRIBUTION</t>
  </si>
  <si>
    <t>Cloison distribution 72/48 BA13+LM 45mm — Rw ≥ 38 dB</t>
  </si>
  <si>
    <t>Cloison séparative logements 72/70 2×BA13+LM 70mm</t>
  </si>
  <si>
    <t>Ossature métallique complémentaire</t>
  </si>
  <si>
    <t>Sous-total 1 — Cloisons HT</t>
  </si>
  <si>
    <t>2. DOUBLAGES THERMIQUES ET ACOUSTIQUES</t>
  </si>
  <si>
    <t>Doublage thermique ossature LM 100mm + BA13 — RE2020</t>
  </si>
  <si>
    <t>Doublage acoustique murs mitoyens LM 45mm + BA13</t>
  </si>
  <si>
    <t>Bande résiliente + membrane frein-vapeur (lot)</t>
  </si>
  <si>
    <t>Sous-total 2 — Doublages HT</t>
  </si>
  <si>
    <t>3. FAUX-PLAFONDS</t>
  </si>
  <si>
    <t>Faux-plafond BA13 pièces sèches logements</t>
  </si>
  <si>
    <t>Faux-plafond BA13H pièces humides</t>
  </si>
  <si>
    <t>Faux-plafond acoustique absorbant PC</t>
  </si>
  <si>
    <t>Trappes de visite 60×60</t>
  </si>
  <si>
    <t>Habillage gaines techniques</t>
  </si>
  <si>
    <t>4. ENDUITS ET FINITIONS</t>
  </si>
  <si>
    <t>Enduit lissé Q4 (pièces nobles Libre)</t>
  </si>
  <si>
    <t>Enduit lissé Q3 (Social/Abordable + PC)</t>
  </si>
  <si>
    <t>Ragréage béton brut</t>
  </si>
  <si>
    <t>Baguettes d'angles</t>
  </si>
  <si>
    <t>Sous-total 4 — Enduits HT</t>
  </si>
  <si>
    <t>5. PEINTURES INTÉRIEURES</t>
  </si>
  <si>
    <t>Peinture acrylique mate — impression + 2 couches — Libre</t>
  </si>
  <si>
    <t>Peinture acrylique mate — 2 couches — Social/Abordable</t>
  </si>
  <si>
    <t>Peinture parties communes lessivable</t>
  </si>
  <si>
    <t>Peinture portes (laque glycéro 2 faces)</t>
  </si>
  <si>
    <t>Peinture plinthes et boiseries</t>
  </si>
  <si>
    <t>Sous-total 5 — Peintures HT</t>
  </si>
  <si>
    <t>6. ISOLATION ACOUSTIQUE PLANCHERS + PRESTATIONS GÉNÉRALES</t>
  </si>
  <si>
    <t>Sous-couche acoustique résiliente sous chape Lw ≥ 27 dB</t>
  </si>
  <si>
    <t>Bande résiliente périphérique chape</t>
  </si>
  <si>
    <t>Essais COFRAC acoustiques 100% logements Libre</t>
  </si>
  <si>
    <t>Installation chantier / coordination / DOE / déchets plâtre</t>
  </si>
  <si>
    <t>Sous-total 6 — Acoustique planchers + général HT</t>
  </si>
  <si>
    <t>Aléas / Imprévus (5 % du total HT estimatif)</t>
  </si>
  <si>
    <t>TOTAL ESTIMATIF LOT 04 (aléas inclus)</t>
  </si>
  <si>
    <t>RAPPEL — Le DQE est un outil de COMPARAISON : toutes les entreprises consultées reçoivent le même DQE. Les quantités sont indicatives (plans PRO base). Le règlement s'effectue sur la DPGF (prix forfaitaire). Source : Cours Bachelor PI — L'Appel d'Offres en Promotion Immobilière.</t>
  </si>
  <si>
    <t>RÉCAPITULATIF GÉNÉRAL — LOT 04 — PLÂTRERIE / DOUBLAGES / FAUX-PLAFONDS
Résidence Muska — SCCV Muska — Frontignan (34110) — Avril 2026</t>
  </si>
  <si>
    <t>Ce récapitulatif consolide les 3 documents : DPGF (prix forfaitaire contractuel) | BPU (prix unitaires pour TS) | DQE (estimatif de comparaison)</t>
  </si>
  <si>
    <t>Document</t>
  </si>
  <si>
    <t>Statut contractuel</t>
  </si>
  <si>
    <t>Usage principal</t>
  </si>
  <si>
    <t>Rempli par</t>
  </si>
  <si>
    <t>Règlement</t>
  </si>
  <si>
    <t>DPGF — Décomposition Prix Global et Forfaitaire</t>
  </si>
  <si>
    <t>OUI — Contractuel</t>
  </si>
  <si>
    <t>Prix ferme et définitif du marché</t>
  </si>
  <si>
    <t>L'entreprise</t>
  </si>
  <si>
    <t>Montant forfaitaire — risque quantitatif entreprise</t>
  </si>
  <si>
    <t>BPU — Bordereau des Prix Unitaires</t>
  </si>
  <si>
    <t>TS, TMA acquéreurs, avenants</t>
  </si>
  <si>
    <t>Quantités réelles × PU contractuels</t>
  </si>
  <si>
    <t>DQE — Détail Quantitatif Estimatif</t>
  </si>
  <si>
    <t>NON — Indicatif</t>
  </si>
  <si>
    <t>Comparaison homogène offres</t>
  </si>
  <si>
    <t>L'économiste</t>
  </si>
  <si>
    <t>Outil d'analyse uniquement</t>
  </si>
  <si>
    <t>PÉRIMÈTRE DU LOT 04 — POINTS CLÉS</t>
  </si>
  <si>
    <t>Poste</t>
  </si>
  <si>
    <t>Périmètre</t>
  </si>
  <si>
    <t>TVA</t>
  </si>
  <si>
    <t>Exigence CCTP</t>
  </si>
  <si>
    <t>Remarque</t>
  </si>
  <si>
    <t>Cloisons distribution</t>
  </si>
  <si>
    <t>1 850 m² estimés</t>
  </si>
  <si>
    <t>20%</t>
  </si>
  <si>
    <t>Rw ≥ 38 dB</t>
  </si>
  <si>
    <t>Joints acoustiques périmètre obligatoires</t>
  </si>
  <si>
    <t>Cloisons séparatives</t>
  </si>
  <si>
    <t>620 m² estimés</t>
  </si>
  <si>
    <t>DnT,A ≥ 53 dB</t>
  </si>
  <si>
    <t>Interfaces GO / réservations</t>
  </si>
  <si>
    <t>Doublages thermiques</t>
  </si>
  <si>
    <t>2 200 m² estimés</t>
  </si>
  <si>
    <t>R ≥ 3,70 m².K/W — RE2020</t>
  </si>
  <si>
    <t>Membranes frein-vapeur incluses</t>
  </si>
  <si>
    <t>Faux-plafonds</t>
  </si>
  <si>
    <t>2 550 m² estimés</t>
  </si>
  <si>
    <t>Trappes de visite coordonnées CVC</t>
  </si>
  <si>
    <t>Hauteur sous plafond contractuelle</t>
  </si>
  <si>
    <t>Enduits / finitions</t>
  </si>
  <si>
    <t>Q3 (std) / Q4 (Libre)</t>
  </si>
  <si>
    <t>Plans de finition B2BA</t>
  </si>
  <si>
    <t>Pas de distinction Libre/Social sur matériaux</t>
  </si>
  <si>
    <t>Peintures</t>
  </si>
  <si>
    <t>~11 800 m² estimés</t>
  </si>
  <si>
    <t>20% / 10%</t>
  </si>
  <si>
    <t>Peinture lessivable PC</t>
  </si>
  <si>
    <t>TVA 10% logements sociaux (26) + abordables (13)</t>
  </si>
  <si>
    <t>Acoustique planchers</t>
  </si>
  <si>
    <t>2 800 m² sous-couche</t>
  </si>
  <si>
    <t>L'nT,w ≤ 58 dB</t>
  </si>
  <si>
    <t>Coordonné avec GO et Lot 03 carrelage</t>
  </si>
  <si>
    <t>Essais COFRAC</t>
  </si>
  <si>
    <t>100% logements Libre</t>
  </si>
  <si>
    <t>DnT,A + L'nT,w — PV DOE</t>
  </si>
  <si>
    <t>Dans les 48h après réception défaut (CCTP)</t>
  </si>
  <si>
    <t>⚠  RÈGLE ESSENTIELLE — Lot 04 spécifique : Pas de distinction Libre / Social sur les prestations. Différence uniquement sur le niveau de finition (Q3 standard / Q4 pièces nobles Libre) et la TVA applicable. Coordination interfaces indispensable : GO (réservations) / CVC (gaines) / Électricité (fourreaux) / Lot 03 (joints périphériques chape).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</si>
</sst>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quot; €&quot;"/>
  </numFmts>
  <fonts count="15">
    <font>
      <sz val="11.0"/>
      <color theme="1"/>
      <name val="Calibri"/>
      <scheme val="minor"/>
    </font>
    <font>
      <b/>
      <sz val="13.0"/>
      <color rgb="FFFFFFFF"/>
      <name val="Arial"/>
    </font>
    <font/>
    <font>
      <b/>
      <sz val="11.0"/>
      <color rgb="FFFFFFFF"/>
      <name val="Arial"/>
    </font>
    <font>
      <b/>
      <sz val="10.0"/>
      <color rgb="FF1F3864"/>
      <name val="Arial"/>
    </font>
    <font>
      <sz val="10.0"/>
      <color rgb="FF0000FF"/>
      <name val="Arial"/>
    </font>
    <font>
      <i/>
      <sz val="9.0"/>
      <color rgb="FF1F3864"/>
      <name val="Arial"/>
    </font>
    <font>
      <sz val="9.0"/>
      <color theme="1"/>
      <name val="Arial"/>
    </font>
    <font>
      <sz val="11.0"/>
      <color theme="1"/>
      <name val="Calibri"/>
    </font>
    <font>
      <b/>
      <sz val="10.0"/>
      <color rgb="FFFFFFFF"/>
      <name val="Arial"/>
    </font>
    <font>
      <sz val="10.0"/>
      <color theme="1"/>
      <name val="Arial"/>
    </font>
    <font>
      <b/>
      <sz val="10.0"/>
      <color theme="1"/>
      <name val="Arial"/>
    </font>
    <font>
      <b/>
      <i/>
      <sz val="9.0"/>
      <color rgb="FF856404"/>
      <name val="Arial"/>
    </font>
    <font>
      <b/>
      <sz val="10.0"/>
      <color rgb="FF856404"/>
      <name val="Arial"/>
    </font>
    <font>
      <b/>
      <sz val="12.0"/>
      <color rgb="FFFFFFFF"/>
      <name val="Arial"/>
    </font>
  </fonts>
  <fills count="11">
    <fill>
      <patternFill patternType="none"/>
    </fill>
    <fill>
      <patternFill patternType="lightGray"/>
    </fill>
    <fill>
      <patternFill patternType="solid">
        <fgColor rgb="FF1F3864"/>
        <bgColor rgb="FF1F3864"/>
      </patternFill>
    </fill>
    <fill>
      <patternFill patternType="solid">
        <fgColor rgb="FF2E5FA3"/>
        <bgColor rgb="FF2E5FA3"/>
      </patternFill>
    </fill>
    <fill>
      <patternFill patternType="solid">
        <fgColor rgb="FFD6E4F0"/>
        <bgColor rgb="FFD6E4F0"/>
      </patternFill>
    </fill>
    <fill>
      <patternFill patternType="solid">
        <fgColor rgb="FFFFF2CC"/>
        <bgColor rgb="FFFFF2CC"/>
      </patternFill>
    </fill>
    <fill>
      <patternFill patternType="solid">
        <fgColor rgb="FFFFFFFF"/>
        <bgColor rgb="FFFFFFFF"/>
      </patternFill>
    </fill>
    <fill>
      <patternFill patternType="solid">
        <fgColor rgb="FFE2EFDA"/>
        <bgColor rgb="FFE2EFDA"/>
      </patternFill>
    </fill>
    <fill>
      <patternFill patternType="solid">
        <fgColor rgb="FFFCE4D6"/>
        <bgColor rgb="FFFCE4D6"/>
      </patternFill>
    </fill>
    <fill>
      <patternFill patternType="solid">
        <fgColor rgb="FFFFF3CD"/>
        <bgColor rgb="FFFFF3CD"/>
      </patternFill>
    </fill>
    <fill>
      <patternFill patternType="solid">
        <fgColor rgb="FFF2F2F2"/>
        <bgColor rgb="FFF2F2F2"/>
      </patternFill>
    </fill>
  </fills>
  <borders count="12">
    <border/>
    <border>
      <left/>
      <top/>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top style="thin">
        <color rgb="FFAAAAAA"/>
      </top>
      <bottom style="thin">
        <color rgb="FFAAAAAA"/>
      </bottom>
    </border>
    <border>
      <left style="thin">
        <color rgb="FFAAAAAA"/>
      </left>
      <right style="thin">
        <color rgb="FFAAAAAA"/>
      </right>
      <top style="thin">
        <color rgb="FFAAAAAA"/>
      </top>
      <bottom style="thin">
        <color rgb="FFAAAAAA"/>
      </bottom>
    </border>
    <border>
      <left style="medium">
        <color rgb="FF1F3864"/>
      </left>
      <top style="medium">
        <color rgb="FF1F3864"/>
      </top>
      <bottom style="medium">
        <color rgb="FF1F3864"/>
      </bottom>
    </border>
    <border>
      <top style="medium">
        <color rgb="FF1F3864"/>
      </top>
      <bottom style="medium">
        <color rgb="FF1F3864"/>
      </bottom>
    </border>
    <border>
      <right/>
      <top style="medium">
        <color rgb="FF1F3864"/>
      </top>
      <bottom style="medium">
        <color rgb="FF1F3864"/>
      </bottom>
    </border>
    <border>
      <left style="medium">
        <color rgb="FF1F3864"/>
      </left>
      <right style="medium">
        <color rgb="FF1F3864"/>
      </right>
      <top style="medium">
        <color rgb="FF1F3864"/>
      </top>
      <bottom style="medium">
        <color rgb="FF1F3864"/>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4" fontId="4"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4" fillId="5" fontId="5" numFmtId="164" xfId="0" applyAlignment="1" applyBorder="1" applyFill="1" applyFont="1" applyNumberFormat="1">
      <alignment horizontal="right" shrinkToFit="0" vertical="center" wrapText="0"/>
    </xf>
    <xf borderId="4" fillId="4" fontId="6" numFmtId="0" xfId="0" applyAlignment="1" applyBorder="1" applyFont="1">
      <alignment horizontal="left" shrinkToFit="0" vertical="center" wrapText="1"/>
    </xf>
    <xf borderId="7" fillId="5" fontId="7" numFmtId="0" xfId="0" applyAlignment="1" applyBorder="1" applyFont="1">
      <alignment horizontal="left" shrinkToFit="0" vertical="center" wrapText="0"/>
    </xf>
    <xf borderId="7" fillId="6" fontId="8" numFmtId="0" xfId="0" applyAlignment="1" applyBorder="1" applyFill="1" applyFont="1">
      <alignment shrinkToFit="0" vertical="bottom" wrapText="0"/>
    </xf>
    <xf borderId="7" fillId="7" fontId="7" numFmtId="0" xfId="0" applyAlignment="1" applyBorder="1" applyFill="1" applyFont="1">
      <alignment horizontal="left" shrinkToFit="0" vertical="center" wrapText="0"/>
    </xf>
    <xf borderId="7" fillId="8" fontId="7" numFmtId="0" xfId="0" applyAlignment="1" applyBorder="1" applyFill="1" applyFont="1">
      <alignment horizontal="left" shrinkToFit="0" vertical="center" wrapText="0"/>
    </xf>
    <xf borderId="7" fillId="4" fontId="7" numFmtId="0" xfId="0" applyAlignment="1" applyBorder="1" applyFont="1">
      <alignment horizontal="left" shrinkToFit="0" vertical="center" wrapText="0"/>
    </xf>
    <xf borderId="7" fillId="2" fontId="9" numFmtId="0" xfId="0" applyAlignment="1" applyBorder="1" applyFont="1">
      <alignment horizontal="center" shrinkToFit="0" vertical="center" wrapText="1"/>
    </xf>
    <xf borderId="7" fillId="6" fontId="10" numFmtId="0" xfId="0" applyAlignment="1" applyBorder="1" applyFont="1">
      <alignment horizontal="center" shrinkToFit="0" vertical="center" wrapText="1"/>
    </xf>
    <xf borderId="7" fillId="6" fontId="10" numFmtId="0" xfId="0" applyAlignment="1" applyBorder="1" applyFont="1">
      <alignment horizontal="left" shrinkToFit="0" vertical="center" wrapText="1"/>
    </xf>
    <xf borderId="7" fillId="6" fontId="10" numFmtId="4" xfId="0" applyAlignment="1" applyBorder="1" applyFont="1" applyNumberFormat="1">
      <alignment horizontal="center" shrinkToFit="0" vertical="center" wrapText="1"/>
    </xf>
    <xf borderId="7" fillId="5" fontId="5" numFmtId="164" xfId="0" applyAlignment="1" applyBorder="1" applyFont="1" applyNumberFormat="1">
      <alignment horizontal="right" shrinkToFit="0" vertical="center" wrapText="0"/>
    </xf>
    <xf borderId="7" fillId="7" fontId="10" numFmtId="164" xfId="0" applyAlignment="1" applyBorder="1" applyFont="1" applyNumberFormat="1">
      <alignment horizontal="right" shrinkToFit="0" vertical="center" wrapText="0"/>
    </xf>
    <xf borderId="7" fillId="6" fontId="10" numFmtId="9" xfId="0" applyAlignment="1" applyBorder="1" applyFont="1" applyNumberFormat="1">
      <alignment horizontal="center" shrinkToFit="0" vertical="center" wrapText="0"/>
    </xf>
    <xf borderId="8" fillId="8" fontId="11" numFmtId="164" xfId="0" applyAlignment="1" applyBorder="1" applyFont="1" applyNumberFormat="1">
      <alignment horizontal="left" shrinkToFit="0" vertical="center" wrapText="0"/>
    </xf>
    <xf borderId="9" fillId="0" fontId="2" numFmtId="0" xfId="0" applyBorder="1" applyFont="1"/>
    <xf borderId="10" fillId="0" fontId="2" numFmtId="0" xfId="0" applyBorder="1" applyFont="1"/>
    <xf borderId="11" fillId="8" fontId="11" numFmtId="164" xfId="0" applyAlignment="1" applyBorder="1" applyFont="1" applyNumberFormat="1">
      <alignment horizontal="right" shrinkToFit="0" vertical="center" wrapText="0"/>
    </xf>
    <xf borderId="11" fillId="8" fontId="8" numFmtId="0" xfId="0" applyAlignment="1" applyBorder="1" applyFont="1">
      <alignment shrinkToFit="0" vertical="bottom" wrapText="0"/>
    </xf>
    <xf borderId="8" fillId="2" fontId="3" numFmtId="0" xfId="0" applyAlignment="1" applyBorder="1" applyFont="1">
      <alignment horizontal="left" shrinkToFit="0" vertical="center" wrapText="0"/>
    </xf>
    <xf borderId="11" fillId="2" fontId="3" numFmtId="164" xfId="0" applyAlignment="1" applyBorder="1" applyFont="1" applyNumberFormat="1">
      <alignment shrinkToFit="0" vertical="bottom" wrapText="0"/>
    </xf>
    <xf borderId="11" fillId="2" fontId="8" numFmtId="0" xfId="0" applyAlignment="1" applyBorder="1" applyFont="1">
      <alignment shrinkToFit="0" vertical="bottom" wrapText="0"/>
    </xf>
    <xf borderId="4" fillId="9" fontId="12" numFmtId="0" xfId="0" applyAlignment="1" applyBorder="1" applyFill="1" applyFont="1">
      <alignment horizontal="left" shrinkToFit="0" vertical="center" wrapText="1"/>
    </xf>
    <xf borderId="7" fillId="10" fontId="7" numFmtId="0" xfId="0" applyAlignment="1" applyBorder="1" applyFill="1" applyFont="1">
      <alignment horizontal="left" shrinkToFit="0" vertical="center" wrapText="0"/>
    </xf>
    <xf borderId="7" fillId="10" fontId="10" numFmtId="0" xfId="0" applyAlignment="1" applyBorder="1" applyFont="1">
      <alignment horizontal="left" shrinkToFit="0" vertical="center" wrapText="1"/>
    </xf>
    <xf borderId="4" fillId="9" fontId="13" numFmtId="0" xfId="0" applyAlignment="1" applyBorder="1" applyFont="1">
      <alignment horizontal="left" shrinkToFit="0" vertical="center" wrapText="1"/>
    </xf>
    <xf borderId="1" fillId="2" fontId="14" numFmtId="0" xfId="0" applyAlignment="1" applyBorder="1" applyFont="1">
      <alignment horizontal="center" shrinkToFit="0" vertical="center" wrapText="1"/>
    </xf>
    <xf borderId="4" fillId="2" fontId="9"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0.0"/>
    <col customWidth="1" min="2" max="2" width="55.0"/>
    <col customWidth="1" min="3" max="3" width="9.0"/>
    <col customWidth="1" min="4" max="4" width="14.0"/>
    <col customWidth="1" min="5" max="5" width="20.0"/>
    <col customWidth="1" min="6" max="6" width="22.0"/>
    <col customWidth="1" min="7" max="7" width="10.0"/>
    <col customWidth="1" min="8" max="8" width="20.0"/>
    <col customWidth="1" min="9" max="26" width="8.71"/>
  </cols>
  <sheetData>
    <row r="1" ht="45.0" customHeight="1">
      <c r="A1" s="1" t="s">
        <v>0</v>
      </c>
      <c r="B1" s="2"/>
      <c r="C1" s="2"/>
      <c r="D1" s="2"/>
      <c r="E1" s="2"/>
      <c r="F1" s="2"/>
      <c r="G1" s="2"/>
      <c r="H1" s="3"/>
    </row>
    <row r="2" ht="30.0" customHeight="1">
      <c r="A2" s="4" t="s">
        <v>1</v>
      </c>
      <c r="B2" s="2"/>
      <c r="C2" s="2"/>
      <c r="D2" s="2"/>
      <c r="E2" s="2"/>
      <c r="F2" s="2"/>
      <c r="G2" s="2"/>
      <c r="H2" s="3"/>
    </row>
    <row r="3" ht="15.0" customHeight="1">
      <c r="A3" s="5" t="s">
        <v>2</v>
      </c>
      <c r="B3" s="6"/>
      <c r="C3" s="6"/>
      <c r="D3" s="7"/>
      <c r="E3" s="8"/>
      <c r="F3" s="6"/>
      <c r="G3" s="6"/>
      <c r="H3" s="7"/>
    </row>
    <row r="4" ht="15.0" customHeight="1">
      <c r="A4" s="5" t="s">
        <v>3</v>
      </c>
      <c r="B4" s="6"/>
      <c r="C4" s="6"/>
      <c r="D4" s="7"/>
      <c r="E4" s="8"/>
      <c r="F4" s="6"/>
      <c r="G4" s="6"/>
      <c r="H4" s="7"/>
    </row>
    <row r="5" ht="36.0" customHeight="1">
      <c r="A5" s="9" t="s">
        <v>4</v>
      </c>
      <c r="B5" s="6"/>
      <c r="C5" s="6"/>
      <c r="D5" s="6"/>
      <c r="E5" s="6"/>
      <c r="F5" s="6"/>
      <c r="G5" s="6"/>
      <c r="H5" s="7"/>
    </row>
    <row r="6" ht="18.0" customHeight="1">
      <c r="A6" s="10" t="s">
        <v>5</v>
      </c>
      <c r="B6" s="11"/>
      <c r="C6" s="12" t="s">
        <v>6</v>
      </c>
      <c r="D6" s="11"/>
      <c r="E6" s="13" t="s">
        <v>7</v>
      </c>
      <c r="F6" s="11"/>
      <c r="G6" s="14" t="s">
        <v>8</v>
      </c>
      <c r="H6" s="11"/>
    </row>
    <row r="7" ht="45.0" customHeight="1">
      <c r="A7" s="15" t="s">
        <v>9</v>
      </c>
      <c r="B7" s="15" t="s">
        <v>10</v>
      </c>
      <c r="C7" s="15" t="s">
        <v>11</v>
      </c>
      <c r="D7" s="15" t="s">
        <v>12</v>
      </c>
      <c r="E7" s="15" t="s">
        <v>13</v>
      </c>
      <c r="F7" s="15" t="s">
        <v>14</v>
      </c>
      <c r="G7" s="15" t="s">
        <v>15</v>
      </c>
      <c r="H7" s="15" t="s">
        <v>16</v>
      </c>
    </row>
    <row r="8" ht="19.5" customHeight="1">
      <c r="A8" s="5" t="s">
        <v>17</v>
      </c>
      <c r="B8" s="6"/>
      <c r="C8" s="6"/>
      <c r="D8" s="6"/>
      <c r="E8" s="6"/>
      <c r="F8" s="6"/>
      <c r="G8" s="6"/>
      <c r="H8" s="7"/>
    </row>
    <row r="9" ht="63.75" customHeight="1">
      <c r="A9" s="16" t="s">
        <v>18</v>
      </c>
      <c r="B9" s="17" t="s">
        <v>19</v>
      </c>
      <c r="C9" s="16" t="s">
        <v>20</v>
      </c>
      <c r="D9" s="18">
        <v>1850.0</v>
      </c>
      <c r="E9" s="19"/>
      <c r="F9" s="20" t="str">
        <f t="shared" ref="F9:F13" si="1">IF(E9&lt;&gt;"",E9*D9,"")</f>
        <v/>
      </c>
      <c r="G9" s="21">
        <v>0.2</v>
      </c>
      <c r="H9" s="20" t="str">
        <f t="shared" ref="H9:H13" si="2">IF(F9&lt;&gt;"",F9*(1+G9),"")</f>
        <v/>
      </c>
    </row>
    <row r="10" ht="42.0" customHeight="1">
      <c r="A10" s="16" t="s">
        <v>21</v>
      </c>
      <c r="B10" s="17" t="s">
        <v>22</v>
      </c>
      <c r="C10" s="16" t="s">
        <v>20</v>
      </c>
      <c r="D10" s="18">
        <v>620.0</v>
      </c>
      <c r="E10" s="19"/>
      <c r="F10" s="20" t="str">
        <f t="shared" si="1"/>
        <v/>
      </c>
      <c r="G10" s="21">
        <v>0.2</v>
      </c>
      <c r="H10" s="20" t="str">
        <f t="shared" si="2"/>
        <v/>
      </c>
    </row>
    <row r="11" ht="42.0" customHeight="1">
      <c r="A11" s="16" t="s">
        <v>23</v>
      </c>
      <c r="B11" s="17" t="s">
        <v>24</v>
      </c>
      <c r="C11" s="16" t="s">
        <v>20</v>
      </c>
      <c r="D11" s="18">
        <v>480.0</v>
      </c>
      <c r="E11" s="19"/>
      <c r="F11" s="20" t="str">
        <f t="shared" si="1"/>
        <v/>
      </c>
      <c r="G11" s="21">
        <v>0.2</v>
      </c>
      <c r="H11" s="20" t="str">
        <f t="shared" si="2"/>
        <v/>
      </c>
    </row>
    <row r="12" ht="30.0" customHeight="1">
      <c r="A12" s="16" t="s">
        <v>25</v>
      </c>
      <c r="B12" s="17" t="s">
        <v>26</v>
      </c>
      <c r="C12" s="16" t="s">
        <v>27</v>
      </c>
      <c r="D12" s="18">
        <v>40.0</v>
      </c>
      <c r="E12" s="19"/>
      <c r="F12" s="20" t="str">
        <f t="shared" si="1"/>
        <v/>
      </c>
      <c r="G12" s="21">
        <v>0.2</v>
      </c>
      <c r="H12" s="20" t="str">
        <f t="shared" si="2"/>
        <v/>
      </c>
    </row>
    <row r="13" ht="30.0" customHeight="1">
      <c r="A13" s="16" t="s">
        <v>28</v>
      </c>
      <c r="B13" s="17" t="s">
        <v>29</v>
      </c>
      <c r="C13" s="16" t="s">
        <v>27</v>
      </c>
      <c r="D13" s="18">
        <v>280.0</v>
      </c>
      <c r="E13" s="19"/>
      <c r="F13" s="20" t="str">
        <f t="shared" si="1"/>
        <v/>
      </c>
      <c r="G13" s="21">
        <v>0.2</v>
      </c>
      <c r="H13" s="20" t="str">
        <f t="shared" si="2"/>
        <v/>
      </c>
    </row>
    <row r="14" ht="21.75" customHeight="1">
      <c r="A14" s="22" t="s">
        <v>30</v>
      </c>
      <c r="B14" s="23"/>
      <c r="C14" s="23"/>
      <c r="D14" s="23"/>
      <c r="E14" s="24"/>
      <c r="F14" s="25">
        <f>SUMPRODUCT((F9:F13&lt;&gt;"")*IF(ISNUMBER(F9:F13),F9:F13,0))</f>
        <v>0</v>
      </c>
      <c r="G14" s="26"/>
      <c r="H14" s="25">
        <f>SUMPRODUCT((H9:H13&lt;&gt;"")*IF(ISNUMBER(H9:H13),H9:H13,0))</f>
        <v>0</v>
      </c>
    </row>
    <row r="15" ht="19.5" customHeight="1">
      <c r="A15" s="5" t="s">
        <v>31</v>
      </c>
      <c r="B15" s="6"/>
      <c r="C15" s="6"/>
      <c r="D15" s="6"/>
      <c r="E15" s="6"/>
      <c r="F15" s="6"/>
      <c r="G15" s="6"/>
      <c r="H15" s="7"/>
    </row>
    <row r="16" ht="30.0" customHeight="1">
      <c r="A16" s="16" t="s">
        <v>32</v>
      </c>
      <c r="B16" s="17" t="s">
        <v>33</v>
      </c>
      <c r="C16" s="16" t="s">
        <v>20</v>
      </c>
      <c r="D16" s="18">
        <v>2200.0</v>
      </c>
      <c r="E16" s="19"/>
      <c r="F16" s="20" t="str">
        <f t="shared" ref="F16:F20" si="3">IF(E16&lt;&gt;"",E16*D16,"")</f>
        <v/>
      </c>
      <c r="G16" s="21">
        <v>0.2</v>
      </c>
      <c r="H16" s="20" t="str">
        <f t="shared" ref="H16:H20" si="4">IF(F16&lt;&gt;"",F16*(1+G16),"")</f>
        <v/>
      </c>
    </row>
    <row r="17" ht="30.0" customHeight="1">
      <c r="A17" s="16" t="s">
        <v>34</v>
      </c>
      <c r="B17" s="17" t="s">
        <v>35</v>
      </c>
      <c r="C17" s="16" t="s">
        <v>20</v>
      </c>
      <c r="D17" s="18">
        <v>780.0</v>
      </c>
      <c r="E17" s="19"/>
      <c r="F17" s="20" t="str">
        <f t="shared" si="3"/>
        <v/>
      </c>
      <c r="G17" s="21">
        <v>0.2</v>
      </c>
      <c r="H17" s="20" t="str">
        <f t="shared" si="4"/>
        <v/>
      </c>
    </row>
    <row r="18" ht="30.0" customHeight="1">
      <c r="A18" s="16" t="s">
        <v>36</v>
      </c>
      <c r="B18" s="17" t="s">
        <v>37</v>
      </c>
      <c r="C18" s="16" t="s">
        <v>20</v>
      </c>
      <c r="D18" s="18">
        <v>320.0</v>
      </c>
      <c r="E18" s="19"/>
      <c r="F18" s="20" t="str">
        <f t="shared" si="3"/>
        <v/>
      </c>
      <c r="G18" s="21">
        <v>0.2</v>
      </c>
      <c r="H18" s="20" t="str">
        <f t="shared" si="4"/>
        <v/>
      </c>
    </row>
    <row r="19" ht="30.0" customHeight="1">
      <c r="A19" s="16" t="s">
        <v>38</v>
      </c>
      <c r="B19" s="17" t="s">
        <v>39</v>
      </c>
      <c r="C19" s="16" t="s">
        <v>40</v>
      </c>
      <c r="D19" s="18">
        <v>1.0</v>
      </c>
      <c r="E19" s="19"/>
      <c r="F19" s="20" t="str">
        <f t="shared" si="3"/>
        <v/>
      </c>
      <c r="G19" s="21">
        <v>0.2</v>
      </c>
      <c r="H19" s="20" t="str">
        <f t="shared" si="4"/>
        <v/>
      </c>
    </row>
    <row r="20" ht="30.0" customHeight="1">
      <c r="A20" s="16" t="s">
        <v>41</v>
      </c>
      <c r="B20" s="17" t="s">
        <v>42</v>
      </c>
      <c r="C20" s="16" t="s">
        <v>40</v>
      </c>
      <c r="D20" s="18">
        <v>1.0</v>
      </c>
      <c r="E20" s="19"/>
      <c r="F20" s="20" t="str">
        <f t="shared" si="3"/>
        <v/>
      </c>
      <c r="G20" s="21">
        <v>0.2</v>
      </c>
      <c r="H20" s="20" t="str">
        <f t="shared" si="4"/>
        <v/>
      </c>
    </row>
    <row r="21" ht="21.75" customHeight="1">
      <c r="A21" s="22" t="s">
        <v>43</v>
      </c>
      <c r="B21" s="23"/>
      <c r="C21" s="23"/>
      <c r="D21" s="23"/>
      <c r="E21" s="24"/>
      <c r="F21" s="25">
        <f>SUMPRODUCT((F16:F20&lt;&gt;"")*IF(ISNUMBER(F16:F20),F16:F20,0))</f>
        <v>0</v>
      </c>
      <c r="G21" s="26"/>
      <c r="H21" s="25">
        <f>SUMPRODUCT((H16:H20&lt;&gt;"")*IF(ISNUMBER(H16:H20),H16:H20,0))</f>
        <v>0</v>
      </c>
    </row>
    <row r="22" ht="19.5" customHeight="1">
      <c r="A22" s="5" t="s">
        <v>44</v>
      </c>
      <c r="B22" s="6"/>
      <c r="C22" s="6"/>
      <c r="D22" s="6"/>
      <c r="E22" s="6"/>
      <c r="F22" s="6"/>
      <c r="G22" s="6"/>
      <c r="H22" s="7"/>
    </row>
    <row r="23" ht="30.0" customHeight="1">
      <c r="A23" s="16" t="s">
        <v>45</v>
      </c>
      <c r="B23" s="17" t="s">
        <v>46</v>
      </c>
      <c r="C23" s="16" t="s">
        <v>20</v>
      </c>
      <c r="D23" s="18">
        <v>1650.0</v>
      </c>
      <c r="E23" s="19"/>
      <c r="F23" s="20" t="str">
        <f t="shared" ref="F23:F28" si="5">IF(E23&lt;&gt;"",E23*D23,"")</f>
        <v/>
      </c>
      <c r="G23" s="21">
        <v>0.2</v>
      </c>
      <c r="H23" s="20" t="str">
        <f t="shared" ref="H23:H28" si="6">IF(F23&lt;&gt;"",F23*(1+G23),"")</f>
        <v/>
      </c>
    </row>
    <row r="24" ht="30.0" customHeight="1">
      <c r="A24" s="16" t="s">
        <v>47</v>
      </c>
      <c r="B24" s="17" t="s">
        <v>48</v>
      </c>
      <c r="C24" s="16" t="s">
        <v>20</v>
      </c>
      <c r="D24" s="18">
        <v>520.0</v>
      </c>
      <c r="E24" s="19"/>
      <c r="F24" s="20" t="str">
        <f t="shared" si="5"/>
        <v/>
      </c>
      <c r="G24" s="21">
        <v>0.2</v>
      </c>
      <c r="H24" s="20" t="str">
        <f t="shared" si="6"/>
        <v/>
      </c>
    </row>
    <row r="25" ht="30.0" customHeight="1">
      <c r="A25" s="16" t="s">
        <v>49</v>
      </c>
      <c r="B25" s="17" t="s">
        <v>50</v>
      </c>
      <c r="C25" s="16" t="s">
        <v>20</v>
      </c>
      <c r="D25" s="18">
        <v>380.0</v>
      </c>
      <c r="E25" s="19"/>
      <c r="F25" s="20" t="str">
        <f t="shared" si="5"/>
        <v/>
      </c>
      <c r="G25" s="21">
        <v>0.2</v>
      </c>
      <c r="H25" s="20" t="str">
        <f t="shared" si="6"/>
        <v/>
      </c>
    </row>
    <row r="26" ht="30.0" customHeight="1">
      <c r="A26" s="16" t="s">
        <v>51</v>
      </c>
      <c r="B26" s="17" t="s">
        <v>52</v>
      </c>
      <c r="C26" s="16" t="s">
        <v>20</v>
      </c>
      <c r="D26" s="18">
        <v>240.0</v>
      </c>
      <c r="E26" s="19"/>
      <c r="F26" s="20" t="str">
        <f t="shared" si="5"/>
        <v/>
      </c>
      <c r="G26" s="21">
        <v>0.2</v>
      </c>
      <c r="H26" s="20" t="str">
        <f t="shared" si="6"/>
        <v/>
      </c>
    </row>
    <row r="27" ht="30.0" customHeight="1">
      <c r="A27" s="16" t="s">
        <v>53</v>
      </c>
      <c r="B27" s="17" t="s">
        <v>54</v>
      </c>
      <c r="C27" s="16" t="s">
        <v>55</v>
      </c>
      <c r="D27" s="18">
        <v>45.0</v>
      </c>
      <c r="E27" s="19"/>
      <c r="F27" s="20" t="str">
        <f t="shared" si="5"/>
        <v/>
      </c>
      <c r="G27" s="21">
        <v>0.2</v>
      </c>
      <c r="H27" s="20" t="str">
        <f t="shared" si="6"/>
        <v/>
      </c>
    </row>
    <row r="28" ht="30.0" customHeight="1">
      <c r="A28" s="16" t="s">
        <v>56</v>
      </c>
      <c r="B28" s="17" t="s">
        <v>57</v>
      </c>
      <c r="C28" s="16" t="s">
        <v>27</v>
      </c>
      <c r="D28" s="18">
        <v>180.0</v>
      </c>
      <c r="E28" s="19"/>
      <c r="F28" s="20" t="str">
        <f t="shared" si="5"/>
        <v/>
      </c>
      <c r="G28" s="21">
        <v>0.2</v>
      </c>
      <c r="H28" s="20" t="str">
        <f t="shared" si="6"/>
        <v/>
      </c>
    </row>
    <row r="29" ht="21.75" customHeight="1">
      <c r="A29" s="22" t="s">
        <v>58</v>
      </c>
      <c r="B29" s="23"/>
      <c r="C29" s="23"/>
      <c r="D29" s="23"/>
      <c r="E29" s="24"/>
      <c r="F29" s="25">
        <f>SUMPRODUCT((F23:F28&lt;&gt;"")*IF(ISNUMBER(F23:F28),F23:F28,0))</f>
        <v>0</v>
      </c>
      <c r="G29" s="26"/>
      <c r="H29" s="25">
        <f>SUMPRODUCT((H23:H28&lt;&gt;"")*IF(ISNUMBER(H23:H28),H23:H28,0))</f>
        <v>0</v>
      </c>
    </row>
    <row r="30" ht="19.5" customHeight="1">
      <c r="A30" s="5" t="s">
        <v>59</v>
      </c>
      <c r="B30" s="6"/>
      <c r="C30" s="6"/>
      <c r="D30" s="6"/>
      <c r="E30" s="6"/>
      <c r="F30" s="6"/>
      <c r="G30" s="6"/>
      <c r="H30" s="7"/>
    </row>
    <row r="31" ht="30.0" customHeight="1">
      <c r="A31" s="16" t="s">
        <v>60</v>
      </c>
      <c r="B31" s="17" t="s">
        <v>61</v>
      </c>
      <c r="C31" s="16" t="s">
        <v>20</v>
      </c>
      <c r="D31" s="18">
        <v>1200.0</v>
      </c>
      <c r="E31" s="19"/>
      <c r="F31" s="20" t="str">
        <f t="shared" ref="F31:F35" si="7">IF(E31&lt;&gt;"",E31*D31,"")</f>
        <v/>
      </c>
      <c r="G31" s="21">
        <v>0.2</v>
      </c>
      <c r="H31" s="20" t="str">
        <f t="shared" ref="H31:H35" si="8">IF(F31&lt;&gt;"",F31*(1+G31),"")</f>
        <v/>
      </c>
    </row>
    <row r="32" ht="30.0" customHeight="1">
      <c r="A32" s="16" t="s">
        <v>62</v>
      </c>
      <c r="B32" s="17" t="s">
        <v>63</v>
      </c>
      <c r="C32" s="16" t="s">
        <v>20</v>
      </c>
      <c r="D32" s="18">
        <v>2800.0</v>
      </c>
      <c r="E32" s="19"/>
      <c r="F32" s="20" t="str">
        <f t="shared" si="7"/>
        <v/>
      </c>
      <c r="G32" s="21">
        <v>0.2</v>
      </c>
      <c r="H32" s="20" t="str">
        <f t="shared" si="8"/>
        <v/>
      </c>
    </row>
    <row r="33" ht="30.0" customHeight="1">
      <c r="A33" s="16" t="s">
        <v>64</v>
      </c>
      <c r="B33" s="17" t="s">
        <v>65</v>
      </c>
      <c r="C33" s="16" t="s">
        <v>20</v>
      </c>
      <c r="D33" s="18">
        <v>680.0</v>
      </c>
      <c r="E33" s="19"/>
      <c r="F33" s="20" t="str">
        <f t="shared" si="7"/>
        <v/>
      </c>
      <c r="G33" s="21">
        <v>0.2</v>
      </c>
      <c r="H33" s="20" t="str">
        <f t="shared" si="8"/>
        <v/>
      </c>
    </row>
    <row r="34" ht="30.0" customHeight="1">
      <c r="A34" s="16" t="s">
        <v>66</v>
      </c>
      <c r="B34" s="17" t="s">
        <v>67</v>
      </c>
      <c r="C34" s="16" t="s">
        <v>27</v>
      </c>
      <c r="D34" s="18">
        <v>1200.0</v>
      </c>
      <c r="E34" s="19"/>
      <c r="F34" s="20" t="str">
        <f t="shared" si="7"/>
        <v/>
      </c>
      <c r="G34" s="21">
        <v>0.2</v>
      </c>
      <c r="H34" s="20" t="str">
        <f t="shared" si="8"/>
        <v/>
      </c>
    </row>
    <row r="35" ht="30.0" customHeight="1">
      <c r="A35" s="16" t="s">
        <v>68</v>
      </c>
      <c r="B35" s="17" t="s">
        <v>69</v>
      </c>
      <c r="C35" s="16" t="s">
        <v>27</v>
      </c>
      <c r="D35" s="18">
        <v>680.0</v>
      </c>
      <c r="E35" s="19"/>
      <c r="F35" s="20" t="str">
        <f t="shared" si="7"/>
        <v/>
      </c>
      <c r="G35" s="21">
        <v>0.2</v>
      </c>
      <c r="H35" s="20" t="str">
        <f t="shared" si="8"/>
        <v/>
      </c>
    </row>
    <row r="36" ht="21.75" customHeight="1">
      <c r="A36" s="22" t="s">
        <v>70</v>
      </c>
      <c r="B36" s="23"/>
      <c r="C36" s="23"/>
      <c r="D36" s="23"/>
      <c r="E36" s="24"/>
      <c r="F36" s="25">
        <f>SUMPRODUCT((F31:F35&lt;&gt;"")*IF(ISNUMBER(F31:F35),F31:F35,0))</f>
        <v>0</v>
      </c>
      <c r="G36" s="26"/>
      <c r="H36" s="25">
        <f>SUMPRODUCT((H31:H35&lt;&gt;"")*IF(ISNUMBER(H31:H35),H31:H35,0))</f>
        <v>0</v>
      </c>
    </row>
    <row r="37" ht="19.5" customHeight="1">
      <c r="A37" s="5" t="s">
        <v>71</v>
      </c>
      <c r="B37" s="6"/>
      <c r="C37" s="6"/>
      <c r="D37" s="6"/>
      <c r="E37" s="6"/>
      <c r="F37" s="6"/>
      <c r="G37" s="6"/>
      <c r="H37" s="7"/>
    </row>
    <row r="38" ht="30.0" customHeight="1">
      <c r="A38" s="16" t="s">
        <v>72</v>
      </c>
      <c r="B38" s="17" t="s">
        <v>73</v>
      </c>
      <c r="C38" s="16" t="s">
        <v>20</v>
      </c>
      <c r="D38" s="18">
        <v>4800.0</v>
      </c>
      <c r="E38" s="19"/>
      <c r="F38" s="20" t="str">
        <f t="shared" ref="F38:F42" si="9">IF(E38&lt;&gt;"",E38*D38,"")</f>
        <v/>
      </c>
      <c r="G38" s="21">
        <v>0.2</v>
      </c>
      <c r="H38" s="20" t="str">
        <f t="shared" ref="H38:H42" si="10">IF(F38&lt;&gt;"",F38*(1+G38),"")</f>
        <v/>
      </c>
    </row>
    <row r="39" ht="30.0" customHeight="1">
      <c r="A39" s="16" t="s">
        <v>74</v>
      </c>
      <c r="B39" s="17" t="s">
        <v>75</v>
      </c>
      <c r="C39" s="16" t="s">
        <v>20</v>
      </c>
      <c r="D39" s="18">
        <v>5200.0</v>
      </c>
      <c r="E39" s="19"/>
      <c r="F39" s="20" t="str">
        <f t="shared" si="9"/>
        <v/>
      </c>
      <c r="G39" s="21">
        <v>0.1</v>
      </c>
      <c r="H39" s="20" t="str">
        <f t="shared" si="10"/>
        <v/>
      </c>
    </row>
    <row r="40" ht="30.0" customHeight="1">
      <c r="A40" s="16" t="s">
        <v>76</v>
      </c>
      <c r="B40" s="17" t="s">
        <v>77</v>
      </c>
      <c r="C40" s="16" t="s">
        <v>20</v>
      </c>
      <c r="D40" s="18">
        <v>1800.0</v>
      </c>
      <c r="E40" s="19"/>
      <c r="F40" s="20" t="str">
        <f t="shared" si="9"/>
        <v/>
      </c>
      <c r="G40" s="21">
        <v>0.2</v>
      </c>
      <c r="H40" s="20" t="str">
        <f t="shared" si="10"/>
        <v/>
      </c>
    </row>
    <row r="41" ht="30.0" customHeight="1">
      <c r="A41" s="16" t="s">
        <v>78</v>
      </c>
      <c r="B41" s="17" t="s">
        <v>79</v>
      </c>
      <c r="C41" s="16" t="s">
        <v>55</v>
      </c>
      <c r="D41" s="18">
        <v>138.0</v>
      </c>
      <c r="E41" s="19"/>
      <c r="F41" s="20" t="str">
        <f t="shared" si="9"/>
        <v/>
      </c>
      <c r="G41" s="21">
        <v>0.2</v>
      </c>
      <c r="H41" s="20" t="str">
        <f t="shared" si="10"/>
        <v/>
      </c>
    </row>
    <row r="42" ht="30.0" customHeight="1">
      <c r="A42" s="16" t="s">
        <v>80</v>
      </c>
      <c r="B42" s="17" t="s">
        <v>81</v>
      </c>
      <c r="C42" s="16" t="s">
        <v>27</v>
      </c>
      <c r="D42" s="18">
        <v>1800.0</v>
      </c>
      <c r="E42" s="19"/>
      <c r="F42" s="20" t="str">
        <f t="shared" si="9"/>
        <v/>
      </c>
      <c r="G42" s="21">
        <v>0.2</v>
      </c>
      <c r="H42" s="20" t="str">
        <f t="shared" si="10"/>
        <v/>
      </c>
    </row>
    <row r="43" ht="21.75" customHeight="1">
      <c r="A43" s="22" t="s">
        <v>82</v>
      </c>
      <c r="B43" s="23"/>
      <c r="C43" s="23"/>
      <c r="D43" s="23"/>
      <c r="E43" s="24"/>
      <c r="F43" s="25">
        <f>SUMPRODUCT((F38:F42&lt;&gt;"")*IF(ISNUMBER(F38:F42),F38:F42,0))</f>
        <v>0</v>
      </c>
      <c r="G43" s="26"/>
      <c r="H43" s="25">
        <f>SUMPRODUCT((H38:H42&lt;&gt;"")*IF(ISNUMBER(H38:H42),H38:H42,0))</f>
        <v>0</v>
      </c>
    </row>
    <row r="44" ht="19.5" customHeight="1">
      <c r="A44" s="5" t="s">
        <v>83</v>
      </c>
      <c r="B44" s="6"/>
      <c r="C44" s="6"/>
      <c r="D44" s="6"/>
      <c r="E44" s="6"/>
      <c r="F44" s="6"/>
      <c r="G44" s="6"/>
      <c r="H44" s="7"/>
    </row>
    <row r="45" ht="30.0" customHeight="1">
      <c r="A45" s="16" t="s">
        <v>84</v>
      </c>
      <c r="B45" s="17" t="s">
        <v>85</v>
      </c>
      <c r="C45" s="16" t="s">
        <v>20</v>
      </c>
      <c r="D45" s="18">
        <v>2800.0</v>
      </c>
      <c r="E45" s="19"/>
      <c r="F45" s="20" t="str">
        <f t="shared" ref="F45:F47" si="11">IF(E45&lt;&gt;"",E45*D45,"")</f>
        <v/>
      </c>
      <c r="G45" s="21">
        <v>0.2</v>
      </c>
      <c r="H45" s="20" t="str">
        <f t="shared" ref="H45:H47" si="12">IF(F45&lt;&gt;"",F45*(1+G45),"")</f>
        <v/>
      </c>
    </row>
    <row r="46" ht="30.0" customHeight="1">
      <c r="A46" s="16" t="s">
        <v>86</v>
      </c>
      <c r="B46" s="17" t="s">
        <v>87</v>
      </c>
      <c r="C46" s="16" t="s">
        <v>27</v>
      </c>
      <c r="D46" s="18">
        <v>2200.0</v>
      </c>
      <c r="E46" s="19"/>
      <c r="F46" s="20" t="str">
        <f t="shared" si="11"/>
        <v/>
      </c>
      <c r="G46" s="21">
        <v>0.2</v>
      </c>
      <c r="H46" s="20" t="str">
        <f t="shared" si="12"/>
        <v/>
      </c>
    </row>
    <row r="47" ht="30.0" customHeight="1">
      <c r="A47" s="16" t="s">
        <v>88</v>
      </c>
      <c r="B47" s="17" t="s">
        <v>89</v>
      </c>
      <c r="C47" s="16" t="s">
        <v>40</v>
      </c>
      <c r="D47" s="18">
        <v>1.0</v>
      </c>
      <c r="E47" s="19"/>
      <c r="F47" s="20" t="str">
        <f t="shared" si="11"/>
        <v/>
      </c>
      <c r="G47" s="21">
        <v>0.2</v>
      </c>
      <c r="H47" s="20" t="str">
        <f t="shared" si="12"/>
        <v/>
      </c>
    </row>
    <row r="48" ht="21.75" customHeight="1">
      <c r="A48" s="22" t="s">
        <v>90</v>
      </c>
      <c r="B48" s="23"/>
      <c r="C48" s="23"/>
      <c r="D48" s="23"/>
      <c r="E48" s="24"/>
      <c r="F48" s="25">
        <f>SUMPRODUCT((F45:F47&lt;&gt;"")*IF(ISNUMBER(F45:F47),F45:F47,0))</f>
        <v>0</v>
      </c>
      <c r="G48" s="26"/>
      <c r="H48" s="25">
        <f>SUMPRODUCT((H45:H47&lt;&gt;"")*IF(ISNUMBER(H45:H47),H45:H47,0))</f>
        <v>0</v>
      </c>
    </row>
    <row r="49" ht="19.5" customHeight="1">
      <c r="A49" s="5" t="s">
        <v>91</v>
      </c>
      <c r="B49" s="6"/>
      <c r="C49" s="6"/>
      <c r="D49" s="6"/>
      <c r="E49" s="6"/>
      <c r="F49" s="6"/>
      <c r="G49" s="6"/>
      <c r="H49" s="7"/>
    </row>
    <row r="50" ht="30.0" customHeight="1">
      <c r="A50" s="16" t="s">
        <v>92</v>
      </c>
      <c r="B50" s="17" t="s">
        <v>93</v>
      </c>
      <c r="C50" s="16" t="s">
        <v>40</v>
      </c>
      <c r="D50" s="18">
        <v>1.0</v>
      </c>
      <c r="E50" s="19"/>
      <c r="F50" s="20" t="str">
        <f t="shared" ref="F50:F54" si="13">IF(E50&lt;&gt;"",E50*D50,"")</f>
        <v/>
      </c>
      <c r="G50" s="21">
        <v>0.2</v>
      </c>
      <c r="H50" s="20" t="str">
        <f t="shared" ref="H50:H54" si="14">IF(F50&lt;&gt;"",F50*(1+G50),"")</f>
        <v/>
      </c>
    </row>
    <row r="51" ht="30.0" customHeight="1">
      <c r="A51" s="16" t="s">
        <v>94</v>
      </c>
      <c r="B51" s="17" t="s">
        <v>95</v>
      </c>
      <c r="C51" s="16" t="s">
        <v>40</v>
      </c>
      <c r="D51" s="18">
        <v>1.0</v>
      </c>
      <c r="E51" s="19"/>
      <c r="F51" s="20" t="str">
        <f t="shared" si="13"/>
        <v/>
      </c>
      <c r="G51" s="21">
        <v>0.2</v>
      </c>
      <c r="H51" s="20" t="str">
        <f t="shared" si="14"/>
        <v/>
      </c>
    </row>
    <row r="52" ht="30.0" customHeight="1">
      <c r="A52" s="16" t="s">
        <v>96</v>
      </c>
      <c r="B52" s="17" t="s">
        <v>97</v>
      </c>
      <c r="C52" s="16" t="s">
        <v>40</v>
      </c>
      <c r="D52" s="18">
        <v>1.0</v>
      </c>
      <c r="E52" s="19"/>
      <c r="F52" s="20" t="str">
        <f t="shared" si="13"/>
        <v/>
      </c>
      <c r="G52" s="21">
        <v>0.2</v>
      </c>
      <c r="H52" s="20" t="str">
        <f t="shared" si="14"/>
        <v/>
      </c>
    </row>
    <row r="53" ht="30.0" customHeight="1">
      <c r="A53" s="16" t="s">
        <v>98</v>
      </c>
      <c r="B53" s="17" t="s">
        <v>99</v>
      </c>
      <c r="C53" s="16" t="s">
        <v>40</v>
      </c>
      <c r="D53" s="18">
        <v>1.0</v>
      </c>
      <c r="E53" s="19"/>
      <c r="F53" s="20" t="str">
        <f t="shared" si="13"/>
        <v/>
      </c>
      <c r="G53" s="21">
        <v>0.2</v>
      </c>
      <c r="H53" s="20" t="str">
        <f t="shared" si="14"/>
        <v/>
      </c>
    </row>
    <row r="54" ht="30.0" customHeight="1">
      <c r="A54" s="16" t="s">
        <v>100</v>
      </c>
      <c r="B54" s="17" t="s">
        <v>101</v>
      </c>
      <c r="C54" s="16" t="s">
        <v>40</v>
      </c>
      <c r="D54" s="18">
        <v>1.0</v>
      </c>
      <c r="E54" s="19"/>
      <c r="F54" s="20" t="str">
        <f t="shared" si="13"/>
        <v/>
      </c>
      <c r="G54" s="21">
        <v>0.2</v>
      </c>
      <c r="H54" s="20" t="str">
        <f t="shared" si="14"/>
        <v/>
      </c>
    </row>
    <row r="55" ht="21.75" customHeight="1">
      <c r="A55" s="22" t="s">
        <v>102</v>
      </c>
      <c r="B55" s="23"/>
      <c r="C55" s="23"/>
      <c r="D55" s="23"/>
      <c r="E55" s="24"/>
      <c r="F55" s="25">
        <f>SUMPRODUCT((F50:F54&lt;&gt;"")*IF(ISNUMBER(F50:F54),F50:F54,0))</f>
        <v>0</v>
      </c>
      <c r="G55" s="26"/>
      <c r="H55" s="25">
        <f>SUMPRODUCT((H50:H54&lt;&gt;"")*IF(ISNUMBER(H50:H54),H50:H54,0))</f>
        <v>0</v>
      </c>
    </row>
    <row r="56" ht="15.75" customHeight="1"/>
    <row r="57" ht="27.75" customHeight="1">
      <c r="A57" s="27" t="s">
        <v>103</v>
      </c>
      <c r="B57" s="23"/>
      <c r="C57" s="23"/>
      <c r="D57" s="23"/>
      <c r="E57" s="24"/>
      <c r="F57" s="28">
        <f>SUM(F14,F21,F29,F36,F43,F48,F55)</f>
        <v>0</v>
      </c>
      <c r="G57" s="29"/>
      <c r="H57" s="28">
        <f>SUM(H14,H21,H29,H36,H43,H48,H55)</f>
        <v>0</v>
      </c>
    </row>
    <row r="58" ht="15.75" customHeight="1"/>
    <row r="59" ht="36.0" customHeight="1">
      <c r="A59" s="30" t="s">
        <v>104</v>
      </c>
      <c r="B59" s="6"/>
      <c r="C59" s="6"/>
      <c r="D59" s="6"/>
      <c r="E59" s="6"/>
      <c r="F59" s="6"/>
      <c r="G59" s="6"/>
      <c r="H59" s="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H1"/>
    <mergeCell ref="A2:H2"/>
    <mergeCell ref="A3:D3"/>
    <mergeCell ref="E3:H3"/>
    <mergeCell ref="A4:D4"/>
    <mergeCell ref="E4:H4"/>
    <mergeCell ref="A5:H5"/>
    <mergeCell ref="A8:H8"/>
    <mergeCell ref="A14:E14"/>
    <mergeCell ref="A15:H15"/>
    <mergeCell ref="A21:E21"/>
    <mergeCell ref="A22:H22"/>
    <mergeCell ref="A29:E29"/>
    <mergeCell ref="A30:H30"/>
    <mergeCell ref="A57:E57"/>
    <mergeCell ref="A59:H59"/>
    <mergeCell ref="A36:E36"/>
    <mergeCell ref="A37:H37"/>
    <mergeCell ref="A43:E43"/>
    <mergeCell ref="A44:H44"/>
    <mergeCell ref="A48:E48"/>
    <mergeCell ref="A49:H49"/>
    <mergeCell ref="A55:E5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0.0"/>
    <col customWidth="1" min="2" max="2" width="55.0"/>
    <col customWidth="1" min="3" max="3" width="9.0"/>
    <col customWidth="1" min="4" max="4" width="10.0"/>
    <col customWidth="1" min="5" max="5" width="24.0"/>
    <col customWidth="1" min="6" max="6" width="16.0"/>
    <col customWidth="1" min="7" max="26" width="8.71"/>
  </cols>
  <sheetData>
    <row r="1" ht="45.0" customHeight="1">
      <c r="A1" s="1" t="s">
        <v>105</v>
      </c>
      <c r="B1" s="2"/>
      <c r="C1" s="2"/>
      <c r="D1" s="2"/>
      <c r="E1" s="2"/>
      <c r="F1" s="3"/>
    </row>
    <row r="2" ht="30.0" customHeight="1">
      <c r="A2" s="4" t="s">
        <v>1</v>
      </c>
      <c r="B2" s="2"/>
      <c r="C2" s="2"/>
      <c r="D2" s="2"/>
      <c r="E2" s="2"/>
      <c r="F2" s="3"/>
    </row>
    <row r="3" ht="15.0" customHeight="1">
      <c r="A3" s="5" t="s">
        <v>2</v>
      </c>
      <c r="B3" s="6"/>
      <c r="C3" s="7"/>
      <c r="D3" s="8"/>
      <c r="E3" s="6"/>
      <c r="F3" s="7"/>
    </row>
    <row r="4" ht="36.0" customHeight="1">
      <c r="A4" s="9" t="s">
        <v>106</v>
      </c>
      <c r="B4" s="6"/>
      <c r="C4" s="6"/>
      <c r="D4" s="6"/>
      <c r="E4" s="6"/>
      <c r="F4" s="7"/>
    </row>
    <row r="5" ht="18.0" customHeight="1">
      <c r="A5" s="10" t="s">
        <v>107</v>
      </c>
      <c r="B5" s="11"/>
      <c r="C5" s="31" t="s">
        <v>108</v>
      </c>
      <c r="D5" s="11"/>
      <c r="E5" s="14" t="s">
        <v>8</v>
      </c>
      <c r="F5" s="11"/>
    </row>
    <row r="6" ht="45.0" customHeight="1">
      <c r="A6" s="15" t="s">
        <v>109</v>
      </c>
      <c r="B6" s="15" t="s">
        <v>110</v>
      </c>
      <c r="C6" s="15" t="s">
        <v>11</v>
      </c>
      <c r="D6" s="15" t="s">
        <v>15</v>
      </c>
      <c r="E6" s="15" t="s">
        <v>13</v>
      </c>
      <c r="F6" s="15" t="s">
        <v>111</v>
      </c>
    </row>
    <row r="7" ht="19.5" customHeight="1">
      <c r="A7" s="5" t="s">
        <v>112</v>
      </c>
      <c r="B7" s="6"/>
      <c r="C7" s="6"/>
      <c r="D7" s="6"/>
      <c r="E7" s="6"/>
      <c r="F7" s="7"/>
    </row>
    <row r="8" ht="27.75" customHeight="1">
      <c r="A8" s="16" t="s">
        <v>113</v>
      </c>
      <c r="B8" s="17" t="s">
        <v>114</v>
      </c>
      <c r="C8" s="16" t="s">
        <v>20</v>
      </c>
      <c r="D8" s="21">
        <v>0.2</v>
      </c>
      <c r="E8" s="19"/>
      <c r="F8" s="32" t="s">
        <v>115</v>
      </c>
    </row>
    <row r="9" ht="27.75" customHeight="1">
      <c r="A9" s="16" t="s">
        <v>116</v>
      </c>
      <c r="B9" s="17" t="s">
        <v>117</v>
      </c>
      <c r="C9" s="16" t="s">
        <v>20</v>
      </c>
      <c r="D9" s="21">
        <v>0.2</v>
      </c>
      <c r="E9" s="19"/>
      <c r="F9" s="32" t="s">
        <v>115</v>
      </c>
    </row>
    <row r="10" ht="27.75" customHeight="1">
      <c r="A10" s="16" t="s">
        <v>118</v>
      </c>
      <c r="B10" s="17" t="s">
        <v>119</v>
      </c>
      <c r="C10" s="16" t="s">
        <v>20</v>
      </c>
      <c r="D10" s="21">
        <v>0.2</v>
      </c>
      <c r="E10" s="19"/>
      <c r="F10" s="32" t="s">
        <v>120</v>
      </c>
    </row>
    <row r="11" ht="27.75" customHeight="1">
      <c r="A11" s="16" t="s">
        <v>121</v>
      </c>
      <c r="B11" s="17" t="s">
        <v>122</v>
      </c>
      <c r="C11" s="16" t="s">
        <v>27</v>
      </c>
      <c r="D11" s="21">
        <v>0.2</v>
      </c>
      <c r="E11" s="19"/>
      <c r="F11" s="32"/>
    </row>
    <row r="12" ht="27.75" customHeight="1">
      <c r="A12" s="16" t="s">
        <v>123</v>
      </c>
      <c r="B12" s="17" t="s">
        <v>124</v>
      </c>
      <c r="C12" s="16" t="s">
        <v>27</v>
      </c>
      <c r="D12" s="21">
        <v>0.2</v>
      </c>
      <c r="E12" s="19"/>
      <c r="F12" s="32"/>
    </row>
    <row r="13" ht="27.75" customHeight="1">
      <c r="A13" s="16" t="s">
        <v>125</v>
      </c>
      <c r="B13" s="17" t="s">
        <v>126</v>
      </c>
      <c r="C13" s="16" t="s">
        <v>20</v>
      </c>
      <c r="D13" s="21">
        <v>0.2</v>
      </c>
      <c r="E13" s="19"/>
      <c r="F13" s="32"/>
    </row>
    <row r="14" ht="19.5" customHeight="1">
      <c r="A14" s="5" t="s">
        <v>127</v>
      </c>
      <c r="B14" s="6"/>
      <c r="C14" s="6"/>
      <c r="D14" s="6"/>
      <c r="E14" s="6"/>
      <c r="F14" s="7"/>
    </row>
    <row r="15" ht="27.75" customHeight="1">
      <c r="A15" s="16" t="s">
        <v>128</v>
      </c>
      <c r="B15" s="17" t="s">
        <v>129</v>
      </c>
      <c r="C15" s="16" t="s">
        <v>20</v>
      </c>
      <c r="D15" s="21">
        <v>0.2</v>
      </c>
      <c r="E15" s="19"/>
      <c r="F15" s="32" t="s">
        <v>130</v>
      </c>
    </row>
    <row r="16" ht="27.75" customHeight="1">
      <c r="A16" s="16" t="s">
        <v>131</v>
      </c>
      <c r="B16" s="17" t="s">
        <v>132</v>
      </c>
      <c r="C16" s="16" t="s">
        <v>20</v>
      </c>
      <c r="D16" s="21">
        <v>0.2</v>
      </c>
      <c r="E16" s="19"/>
      <c r="F16" s="32"/>
    </row>
    <row r="17" ht="27.75" customHeight="1">
      <c r="A17" s="16" t="s">
        <v>133</v>
      </c>
      <c r="B17" s="17" t="s">
        <v>134</v>
      </c>
      <c r="C17" s="16" t="s">
        <v>20</v>
      </c>
      <c r="D17" s="21">
        <v>0.2</v>
      </c>
      <c r="E17" s="19"/>
      <c r="F17" s="32"/>
    </row>
    <row r="18" ht="27.75" customHeight="1">
      <c r="A18" s="16" t="s">
        <v>135</v>
      </c>
      <c r="B18" s="17" t="s">
        <v>136</v>
      </c>
      <c r="C18" s="16" t="s">
        <v>27</v>
      </c>
      <c r="D18" s="21">
        <v>0.2</v>
      </c>
      <c r="E18" s="19"/>
      <c r="F18" s="32"/>
    </row>
    <row r="19" ht="27.75" customHeight="1">
      <c r="A19" s="16" t="s">
        <v>137</v>
      </c>
      <c r="B19" s="17" t="s">
        <v>138</v>
      </c>
      <c r="C19" s="16" t="s">
        <v>20</v>
      </c>
      <c r="D19" s="21">
        <v>0.2</v>
      </c>
      <c r="E19" s="19"/>
      <c r="F19" s="32"/>
    </row>
    <row r="20" ht="19.5" customHeight="1">
      <c r="A20" s="5" t="s">
        <v>139</v>
      </c>
      <c r="B20" s="6"/>
      <c r="C20" s="6"/>
      <c r="D20" s="6"/>
      <c r="E20" s="6"/>
      <c r="F20" s="7"/>
    </row>
    <row r="21" ht="27.75" customHeight="1">
      <c r="A21" s="16" t="s">
        <v>140</v>
      </c>
      <c r="B21" s="17" t="s">
        <v>141</v>
      </c>
      <c r="C21" s="16" t="s">
        <v>20</v>
      </c>
      <c r="D21" s="21">
        <v>0.2</v>
      </c>
      <c r="E21" s="19"/>
      <c r="F21" s="32" t="s">
        <v>142</v>
      </c>
    </row>
    <row r="22" ht="27.75" customHeight="1">
      <c r="A22" s="16" t="s">
        <v>143</v>
      </c>
      <c r="B22" s="17" t="s">
        <v>144</v>
      </c>
      <c r="C22" s="16" t="s">
        <v>20</v>
      </c>
      <c r="D22" s="21">
        <v>0.2</v>
      </c>
      <c r="E22" s="19"/>
      <c r="F22" s="32"/>
    </row>
    <row r="23" ht="27.75" customHeight="1">
      <c r="A23" s="16" t="s">
        <v>145</v>
      </c>
      <c r="B23" s="17" t="s">
        <v>146</v>
      </c>
      <c r="C23" s="16" t="s">
        <v>20</v>
      </c>
      <c r="D23" s="21">
        <v>0.2</v>
      </c>
      <c r="E23" s="19"/>
      <c r="F23" s="32"/>
    </row>
    <row r="24" ht="27.75" customHeight="1">
      <c r="A24" s="16" t="s">
        <v>147</v>
      </c>
      <c r="B24" s="17" t="s">
        <v>148</v>
      </c>
      <c r="C24" s="16" t="s">
        <v>20</v>
      </c>
      <c r="D24" s="21">
        <v>0.2</v>
      </c>
      <c r="E24" s="19"/>
      <c r="F24" s="32"/>
    </row>
    <row r="25" ht="27.75" customHeight="1">
      <c r="A25" s="16" t="s">
        <v>149</v>
      </c>
      <c r="B25" s="17" t="s">
        <v>150</v>
      </c>
      <c r="C25" s="16" t="s">
        <v>55</v>
      </c>
      <c r="D25" s="21">
        <v>0.2</v>
      </c>
      <c r="E25" s="19"/>
      <c r="F25" s="32"/>
    </row>
    <row r="26" ht="27.75" customHeight="1">
      <c r="A26" s="16" t="s">
        <v>151</v>
      </c>
      <c r="B26" s="17" t="s">
        <v>152</v>
      </c>
      <c r="C26" s="16" t="s">
        <v>27</v>
      </c>
      <c r="D26" s="21">
        <v>0.2</v>
      </c>
      <c r="E26" s="19"/>
      <c r="F26" s="32"/>
    </row>
    <row r="27" ht="27.75" customHeight="1">
      <c r="A27" s="16" t="s">
        <v>153</v>
      </c>
      <c r="B27" s="17" t="s">
        <v>154</v>
      </c>
      <c r="C27" s="16" t="s">
        <v>20</v>
      </c>
      <c r="D27" s="21">
        <v>0.2</v>
      </c>
      <c r="E27" s="19"/>
      <c r="F27" s="32"/>
    </row>
    <row r="28" ht="19.5" customHeight="1">
      <c r="A28" s="5" t="s">
        <v>155</v>
      </c>
      <c r="B28" s="6"/>
      <c r="C28" s="6"/>
      <c r="D28" s="6"/>
      <c r="E28" s="6"/>
      <c r="F28" s="7"/>
    </row>
    <row r="29" ht="27.75" customHeight="1">
      <c r="A29" s="16" t="s">
        <v>156</v>
      </c>
      <c r="B29" s="17" t="s">
        <v>157</v>
      </c>
      <c r="C29" s="16" t="s">
        <v>20</v>
      </c>
      <c r="D29" s="21">
        <v>0.2</v>
      </c>
      <c r="E29" s="19"/>
      <c r="F29" s="32" t="s">
        <v>158</v>
      </c>
    </row>
    <row r="30" ht="27.75" customHeight="1">
      <c r="A30" s="16" t="s">
        <v>159</v>
      </c>
      <c r="B30" s="17" t="s">
        <v>160</v>
      </c>
      <c r="C30" s="16" t="s">
        <v>20</v>
      </c>
      <c r="D30" s="21">
        <v>0.2</v>
      </c>
      <c r="E30" s="19"/>
      <c r="F30" s="32"/>
    </row>
    <row r="31" ht="27.75" customHeight="1">
      <c r="A31" s="16" t="s">
        <v>161</v>
      </c>
      <c r="B31" s="17" t="s">
        <v>162</v>
      </c>
      <c r="C31" s="16" t="s">
        <v>20</v>
      </c>
      <c r="D31" s="21">
        <v>0.2</v>
      </c>
      <c r="E31" s="19"/>
      <c r="F31" s="32"/>
    </row>
    <row r="32" ht="27.75" customHeight="1">
      <c r="A32" s="16" t="s">
        <v>163</v>
      </c>
      <c r="B32" s="17" t="s">
        <v>164</v>
      </c>
      <c r="C32" s="16" t="s">
        <v>27</v>
      </c>
      <c r="D32" s="21">
        <v>0.2</v>
      </c>
      <c r="E32" s="19"/>
      <c r="F32" s="32" t="s">
        <v>120</v>
      </c>
    </row>
    <row r="33" ht="27.75" customHeight="1">
      <c r="A33" s="16" t="s">
        <v>165</v>
      </c>
      <c r="B33" s="17" t="s">
        <v>166</v>
      </c>
      <c r="C33" s="16" t="s">
        <v>27</v>
      </c>
      <c r="D33" s="21">
        <v>0.2</v>
      </c>
      <c r="E33" s="19"/>
      <c r="F33" s="32"/>
    </row>
    <row r="34" ht="19.5" customHeight="1">
      <c r="A34" s="5" t="s">
        <v>167</v>
      </c>
      <c r="B34" s="6"/>
      <c r="C34" s="6"/>
      <c r="D34" s="6"/>
      <c r="E34" s="6"/>
      <c r="F34" s="7"/>
    </row>
    <row r="35" ht="27.75" customHeight="1">
      <c r="A35" s="16" t="s">
        <v>168</v>
      </c>
      <c r="B35" s="17" t="s">
        <v>169</v>
      </c>
      <c r="C35" s="16" t="s">
        <v>20</v>
      </c>
      <c r="D35" s="21">
        <v>0.2</v>
      </c>
      <c r="E35" s="19"/>
      <c r="F35" s="32"/>
    </row>
    <row r="36" ht="27.75" customHeight="1">
      <c r="A36" s="16" t="s">
        <v>170</v>
      </c>
      <c r="B36" s="17" t="s">
        <v>171</v>
      </c>
      <c r="C36" s="16" t="s">
        <v>20</v>
      </c>
      <c r="D36" s="21">
        <v>0.1</v>
      </c>
      <c r="E36" s="19"/>
      <c r="F36" s="32"/>
    </row>
    <row r="37" ht="27.75" customHeight="1">
      <c r="A37" s="16" t="s">
        <v>172</v>
      </c>
      <c r="B37" s="17" t="s">
        <v>173</v>
      </c>
      <c r="C37" s="16" t="s">
        <v>20</v>
      </c>
      <c r="D37" s="21">
        <v>0.2</v>
      </c>
      <c r="E37" s="19"/>
      <c r="F37" s="32"/>
    </row>
    <row r="38" ht="27.75" customHeight="1">
      <c r="A38" s="16" t="s">
        <v>174</v>
      </c>
      <c r="B38" s="17" t="s">
        <v>175</v>
      </c>
      <c r="C38" s="16" t="s">
        <v>55</v>
      </c>
      <c r="D38" s="21">
        <v>0.2</v>
      </c>
      <c r="E38" s="19"/>
      <c r="F38" s="32"/>
    </row>
    <row r="39" ht="27.75" customHeight="1">
      <c r="A39" s="16" t="s">
        <v>176</v>
      </c>
      <c r="B39" s="17" t="s">
        <v>177</v>
      </c>
      <c r="C39" s="16" t="s">
        <v>27</v>
      </c>
      <c r="D39" s="21">
        <v>0.2</v>
      </c>
      <c r="E39" s="19"/>
      <c r="F39" s="32"/>
    </row>
    <row r="40" ht="27.75" customHeight="1">
      <c r="A40" s="16" t="s">
        <v>178</v>
      </c>
      <c r="B40" s="17" t="s">
        <v>179</v>
      </c>
      <c r="C40" s="16" t="s">
        <v>20</v>
      </c>
      <c r="D40" s="21">
        <v>0.2</v>
      </c>
      <c r="E40" s="19"/>
      <c r="F40" s="32"/>
    </row>
    <row r="41" ht="19.5" customHeight="1">
      <c r="A41" s="5" t="s">
        <v>180</v>
      </c>
      <c r="B41" s="6"/>
      <c r="C41" s="6"/>
      <c r="D41" s="6"/>
      <c r="E41" s="6"/>
      <c r="F41" s="7"/>
    </row>
    <row r="42" ht="27.75" customHeight="1">
      <c r="A42" s="16" t="s">
        <v>181</v>
      </c>
      <c r="B42" s="17" t="s">
        <v>182</v>
      </c>
      <c r="C42" s="16" t="s">
        <v>20</v>
      </c>
      <c r="D42" s="21">
        <v>0.2</v>
      </c>
      <c r="E42" s="19"/>
      <c r="F42" s="32" t="s">
        <v>183</v>
      </c>
    </row>
    <row r="43" ht="27.75" customHeight="1">
      <c r="A43" s="16" t="s">
        <v>184</v>
      </c>
      <c r="B43" s="17" t="s">
        <v>185</v>
      </c>
      <c r="C43" s="16" t="s">
        <v>27</v>
      </c>
      <c r="D43" s="21">
        <v>0.2</v>
      </c>
      <c r="E43" s="19"/>
      <c r="F43" s="32"/>
    </row>
    <row r="44" ht="27.75" customHeight="1">
      <c r="A44" s="16" t="s">
        <v>186</v>
      </c>
      <c r="B44" s="17" t="s">
        <v>187</v>
      </c>
      <c r="C44" s="16" t="s">
        <v>40</v>
      </c>
      <c r="D44" s="21">
        <v>0.2</v>
      </c>
      <c r="E44" s="19"/>
      <c r="F44" s="32" t="s">
        <v>188</v>
      </c>
    </row>
    <row r="45" ht="19.5" customHeight="1">
      <c r="A45" s="5" t="s">
        <v>189</v>
      </c>
      <c r="B45" s="6"/>
      <c r="C45" s="6"/>
      <c r="D45" s="6"/>
      <c r="E45" s="6"/>
      <c r="F45" s="7"/>
    </row>
    <row r="46" ht="27.75" customHeight="1">
      <c r="A46" s="16" t="s">
        <v>190</v>
      </c>
      <c r="B46" s="17" t="s">
        <v>191</v>
      </c>
      <c r="C46" s="16" t="s">
        <v>40</v>
      </c>
      <c r="D46" s="21">
        <v>0.2</v>
      </c>
      <c r="E46" s="19"/>
      <c r="F46" s="32"/>
    </row>
    <row r="47" ht="27.75" customHeight="1">
      <c r="A47" s="16" t="s">
        <v>192</v>
      </c>
      <c r="B47" s="17" t="s">
        <v>193</v>
      </c>
      <c r="C47" s="16" t="s">
        <v>40</v>
      </c>
      <c r="D47" s="21">
        <v>0.2</v>
      </c>
      <c r="E47" s="19"/>
      <c r="F47" s="32"/>
    </row>
    <row r="48" ht="27.75" customHeight="1">
      <c r="A48" s="16" t="s">
        <v>194</v>
      </c>
      <c r="B48" s="17" t="s">
        <v>195</v>
      </c>
      <c r="C48" s="16" t="s">
        <v>40</v>
      </c>
      <c r="D48" s="21">
        <v>0.2</v>
      </c>
      <c r="E48" s="19"/>
      <c r="F48" s="32"/>
    </row>
    <row r="49" ht="27.75" customHeight="1">
      <c r="A49" s="16" t="s">
        <v>196</v>
      </c>
      <c r="B49" s="17" t="s">
        <v>197</v>
      </c>
      <c r="C49" s="16" t="s">
        <v>40</v>
      </c>
      <c r="D49" s="21">
        <v>0.2</v>
      </c>
      <c r="E49" s="19"/>
      <c r="F49" s="32"/>
    </row>
    <row r="50" ht="36.0" customHeight="1">
      <c r="A50" s="30" t="s">
        <v>198</v>
      </c>
      <c r="B50" s="6"/>
      <c r="C50" s="6"/>
      <c r="D50" s="6"/>
      <c r="E50" s="6"/>
      <c r="F50" s="7"/>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0:F20"/>
    <mergeCell ref="A28:F28"/>
    <mergeCell ref="A34:F34"/>
    <mergeCell ref="A41:F41"/>
    <mergeCell ref="A45:F45"/>
    <mergeCell ref="A50:F50"/>
    <mergeCell ref="A1:F1"/>
    <mergeCell ref="A2:F2"/>
    <mergeCell ref="A3:C3"/>
    <mergeCell ref="D3:F3"/>
    <mergeCell ref="A4:F4"/>
    <mergeCell ref="A7:F7"/>
    <mergeCell ref="A14:F1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55.0"/>
    <col customWidth="1" min="3" max="3" width="9.0"/>
    <col customWidth="1" min="4" max="4" width="14.0"/>
    <col customWidth="1" min="5" max="6" width="22.0"/>
    <col customWidth="1" min="7" max="7" width="10.0"/>
    <col customWidth="1" min="8" max="8" width="22.0"/>
    <col customWidth="1" min="9" max="26" width="8.71"/>
  </cols>
  <sheetData>
    <row r="1" ht="45.0" customHeight="1">
      <c r="A1" s="1" t="s">
        <v>199</v>
      </c>
      <c r="B1" s="2"/>
      <c r="C1" s="2"/>
      <c r="D1" s="2"/>
      <c r="E1" s="2"/>
      <c r="F1" s="2"/>
      <c r="G1" s="2"/>
      <c r="H1" s="3"/>
    </row>
    <row r="2" ht="30.0" customHeight="1">
      <c r="A2" s="4" t="s">
        <v>200</v>
      </c>
      <c r="B2" s="2"/>
      <c r="C2" s="2"/>
      <c r="D2" s="2"/>
      <c r="E2" s="2"/>
      <c r="F2" s="2"/>
      <c r="G2" s="2"/>
      <c r="H2" s="3"/>
    </row>
    <row r="3" ht="36.0" customHeight="1">
      <c r="A3" s="9" t="s">
        <v>201</v>
      </c>
      <c r="B3" s="6"/>
      <c r="C3" s="6"/>
      <c r="D3" s="6"/>
      <c r="E3" s="6"/>
      <c r="F3" s="6"/>
      <c r="G3" s="6"/>
      <c r="H3" s="7"/>
    </row>
    <row r="4" ht="45.0" customHeight="1">
      <c r="A4" s="15" t="s">
        <v>9</v>
      </c>
      <c r="B4" s="15" t="s">
        <v>202</v>
      </c>
      <c r="C4" s="15" t="s">
        <v>11</v>
      </c>
      <c r="D4" s="15" t="s">
        <v>203</v>
      </c>
      <c r="E4" s="15" t="s">
        <v>204</v>
      </c>
      <c r="F4" s="15" t="s">
        <v>205</v>
      </c>
      <c r="G4" s="15" t="s">
        <v>15</v>
      </c>
      <c r="H4" s="15" t="s">
        <v>206</v>
      </c>
    </row>
    <row r="5" ht="19.5" customHeight="1">
      <c r="A5" s="5" t="s">
        <v>207</v>
      </c>
      <c r="B5" s="6"/>
      <c r="C5" s="6"/>
      <c r="D5" s="6"/>
      <c r="E5" s="6"/>
      <c r="F5" s="6"/>
      <c r="G5" s="6"/>
      <c r="H5" s="7"/>
    </row>
    <row r="6" ht="27.75" customHeight="1">
      <c r="A6" s="16" t="s">
        <v>18</v>
      </c>
      <c r="B6" s="17" t="s">
        <v>208</v>
      </c>
      <c r="C6" s="16" t="s">
        <v>20</v>
      </c>
      <c r="D6" s="18">
        <v>1850.0</v>
      </c>
      <c r="E6" s="19"/>
      <c r="F6" s="20" t="str">
        <f t="shared" ref="F6:F9" si="1">IF(E6&lt;&gt;"",D6*E6,"")</f>
        <v/>
      </c>
      <c r="G6" s="21">
        <v>0.2</v>
      </c>
      <c r="H6" s="20" t="str">
        <f t="shared" ref="H6:H9" si="2">IF(F6&lt;&gt;"",F6*(1+G6),"")</f>
        <v/>
      </c>
    </row>
    <row r="7" ht="27.75" customHeight="1">
      <c r="A7" s="16" t="s">
        <v>21</v>
      </c>
      <c r="B7" s="17" t="s">
        <v>209</v>
      </c>
      <c r="C7" s="16" t="s">
        <v>20</v>
      </c>
      <c r="D7" s="18">
        <v>620.0</v>
      </c>
      <c r="E7" s="19"/>
      <c r="F7" s="20" t="str">
        <f t="shared" si="1"/>
        <v/>
      </c>
      <c r="G7" s="21">
        <v>0.2</v>
      </c>
      <c r="H7" s="20" t="str">
        <f t="shared" si="2"/>
        <v/>
      </c>
    </row>
    <row r="8" ht="27.75" customHeight="1">
      <c r="A8" s="16" t="s">
        <v>23</v>
      </c>
      <c r="B8" s="17" t="s">
        <v>119</v>
      </c>
      <c r="C8" s="16" t="s">
        <v>20</v>
      </c>
      <c r="D8" s="18">
        <v>480.0</v>
      </c>
      <c r="E8" s="19"/>
      <c r="F8" s="20" t="str">
        <f t="shared" si="1"/>
        <v/>
      </c>
      <c r="G8" s="21">
        <v>0.2</v>
      </c>
      <c r="H8" s="20" t="str">
        <f t="shared" si="2"/>
        <v/>
      </c>
    </row>
    <row r="9" ht="27.75" customHeight="1">
      <c r="A9" s="16" t="s">
        <v>28</v>
      </c>
      <c r="B9" s="17" t="s">
        <v>210</v>
      </c>
      <c r="C9" s="16" t="s">
        <v>27</v>
      </c>
      <c r="D9" s="18">
        <v>280.0</v>
      </c>
      <c r="E9" s="19"/>
      <c r="F9" s="20" t="str">
        <f t="shared" si="1"/>
        <v/>
      </c>
      <c r="G9" s="21">
        <v>0.2</v>
      </c>
      <c r="H9" s="20" t="str">
        <f t="shared" si="2"/>
        <v/>
      </c>
    </row>
    <row r="10" ht="21.75" customHeight="1">
      <c r="A10" s="22" t="s">
        <v>211</v>
      </c>
      <c r="B10" s="23"/>
      <c r="C10" s="23"/>
      <c r="D10" s="23"/>
      <c r="E10" s="24"/>
      <c r="F10" s="25">
        <f>SUMPRODUCT((F6:F9&lt;&gt;"")*IF(ISNUMBER(F6:F9),F6:F9,0))</f>
        <v>0</v>
      </c>
      <c r="G10" s="26"/>
      <c r="H10" s="25">
        <f>SUMPRODUCT((H6:H9&lt;&gt;"")*IF(ISNUMBER(H6:H9),H6:H9,0))</f>
        <v>0</v>
      </c>
    </row>
    <row r="11" ht="19.5" customHeight="1">
      <c r="A11" s="5" t="s">
        <v>212</v>
      </c>
      <c r="B11" s="6"/>
      <c r="C11" s="6"/>
      <c r="D11" s="6"/>
      <c r="E11" s="6"/>
      <c r="F11" s="6"/>
      <c r="G11" s="6"/>
      <c r="H11" s="7"/>
    </row>
    <row r="12" ht="27.75" customHeight="1">
      <c r="A12" s="16" t="s">
        <v>32</v>
      </c>
      <c r="B12" s="17" t="s">
        <v>213</v>
      </c>
      <c r="C12" s="16" t="s">
        <v>20</v>
      </c>
      <c r="D12" s="18">
        <v>2200.0</v>
      </c>
      <c r="E12" s="19"/>
      <c r="F12" s="20" t="str">
        <f t="shared" ref="F12:F15" si="3">IF(E12&lt;&gt;"",D12*E12,"")</f>
        <v/>
      </c>
      <c r="G12" s="21">
        <v>0.2</v>
      </c>
      <c r="H12" s="20" t="str">
        <f t="shared" ref="H12:H15" si="4">IF(F12&lt;&gt;"",F12*(1+G12),"")</f>
        <v/>
      </c>
    </row>
    <row r="13" ht="27.75" customHeight="1">
      <c r="A13" s="16" t="s">
        <v>34</v>
      </c>
      <c r="B13" s="17" t="s">
        <v>214</v>
      </c>
      <c r="C13" s="16" t="s">
        <v>20</v>
      </c>
      <c r="D13" s="18">
        <v>780.0</v>
      </c>
      <c r="E13" s="19"/>
      <c r="F13" s="20" t="str">
        <f t="shared" si="3"/>
        <v/>
      </c>
      <c r="G13" s="21">
        <v>0.2</v>
      </c>
      <c r="H13" s="20" t="str">
        <f t="shared" si="4"/>
        <v/>
      </c>
    </row>
    <row r="14" ht="27.75" customHeight="1">
      <c r="A14" s="16" t="s">
        <v>36</v>
      </c>
      <c r="B14" s="17" t="s">
        <v>134</v>
      </c>
      <c r="C14" s="16" t="s">
        <v>20</v>
      </c>
      <c r="D14" s="18">
        <v>320.0</v>
      </c>
      <c r="E14" s="19"/>
      <c r="F14" s="20" t="str">
        <f t="shared" si="3"/>
        <v/>
      </c>
      <c r="G14" s="21">
        <v>0.2</v>
      </c>
      <c r="H14" s="20" t="str">
        <f t="shared" si="4"/>
        <v/>
      </c>
    </row>
    <row r="15" ht="27.75" customHeight="1">
      <c r="A15" s="16" t="s">
        <v>38</v>
      </c>
      <c r="B15" s="17" t="s">
        <v>215</v>
      </c>
      <c r="C15" s="16" t="s">
        <v>40</v>
      </c>
      <c r="D15" s="18">
        <v>1.0</v>
      </c>
      <c r="E15" s="19"/>
      <c r="F15" s="20" t="str">
        <f t="shared" si="3"/>
        <v/>
      </c>
      <c r="G15" s="21">
        <v>0.2</v>
      </c>
      <c r="H15" s="20" t="str">
        <f t="shared" si="4"/>
        <v/>
      </c>
    </row>
    <row r="16" ht="21.75" customHeight="1">
      <c r="A16" s="22" t="s">
        <v>216</v>
      </c>
      <c r="B16" s="23"/>
      <c r="C16" s="23"/>
      <c r="D16" s="23"/>
      <c r="E16" s="24"/>
      <c r="F16" s="25">
        <f>SUMPRODUCT((F12:F15&lt;&gt;"")*IF(ISNUMBER(F12:F15),F12:F15,0))</f>
        <v>0</v>
      </c>
      <c r="G16" s="26"/>
      <c r="H16" s="25">
        <f>SUMPRODUCT((H12:H15&lt;&gt;"")*IF(ISNUMBER(H12:H15),H12:H15,0))</f>
        <v>0</v>
      </c>
    </row>
    <row r="17" ht="19.5" customHeight="1">
      <c r="A17" s="5" t="s">
        <v>217</v>
      </c>
      <c r="B17" s="6"/>
      <c r="C17" s="6"/>
      <c r="D17" s="6"/>
      <c r="E17" s="6"/>
      <c r="F17" s="6"/>
      <c r="G17" s="6"/>
      <c r="H17" s="7"/>
    </row>
    <row r="18" ht="27.75" customHeight="1">
      <c r="A18" s="16" t="s">
        <v>45</v>
      </c>
      <c r="B18" s="17" t="s">
        <v>218</v>
      </c>
      <c r="C18" s="16" t="s">
        <v>20</v>
      </c>
      <c r="D18" s="18">
        <v>1650.0</v>
      </c>
      <c r="E18" s="19"/>
      <c r="F18" s="20" t="str">
        <f t="shared" ref="F18:F22" si="5">IF(E18&lt;&gt;"",D18*E18,"")</f>
        <v/>
      </c>
      <c r="G18" s="21">
        <v>0.2</v>
      </c>
      <c r="H18" s="20" t="str">
        <f t="shared" ref="H18:H22" si="6">IF(F18&lt;&gt;"",F18*(1+G18),"")</f>
        <v/>
      </c>
    </row>
    <row r="19" ht="27.75" customHeight="1">
      <c r="A19" s="16" t="s">
        <v>47</v>
      </c>
      <c r="B19" s="17" t="s">
        <v>219</v>
      </c>
      <c r="C19" s="16" t="s">
        <v>20</v>
      </c>
      <c r="D19" s="18">
        <v>520.0</v>
      </c>
      <c r="E19" s="19"/>
      <c r="F19" s="20" t="str">
        <f t="shared" si="5"/>
        <v/>
      </c>
      <c r="G19" s="21">
        <v>0.2</v>
      </c>
      <c r="H19" s="20" t="str">
        <f t="shared" si="6"/>
        <v/>
      </c>
    </row>
    <row r="20" ht="27.75" customHeight="1">
      <c r="A20" s="16" t="s">
        <v>49</v>
      </c>
      <c r="B20" s="17" t="s">
        <v>220</v>
      </c>
      <c r="C20" s="16" t="s">
        <v>20</v>
      </c>
      <c r="D20" s="18">
        <v>380.0</v>
      </c>
      <c r="E20" s="19"/>
      <c r="F20" s="20" t="str">
        <f t="shared" si="5"/>
        <v/>
      </c>
      <c r="G20" s="21">
        <v>0.2</v>
      </c>
      <c r="H20" s="20" t="str">
        <f t="shared" si="6"/>
        <v/>
      </c>
    </row>
    <row r="21" ht="27.75" customHeight="1">
      <c r="A21" s="16" t="s">
        <v>53</v>
      </c>
      <c r="B21" s="17" t="s">
        <v>221</v>
      </c>
      <c r="C21" s="16" t="s">
        <v>55</v>
      </c>
      <c r="D21" s="18">
        <v>45.0</v>
      </c>
      <c r="E21" s="19"/>
      <c r="F21" s="20" t="str">
        <f t="shared" si="5"/>
        <v/>
      </c>
      <c r="G21" s="21">
        <v>0.2</v>
      </c>
      <c r="H21" s="20" t="str">
        <f t="shared" si="6"/>
        <v/>
      </c>
    </row>
    <row r="22" ht="27.75" customHeight="1">
      <c r="A22" s="16" t="s">
        <v>56</v>
      </c>
      <c r="B22" s="17" t="s">
        <v>222</v>
      </c>
      <c r="C22" s="16" t="s">
        <v>27</v>
      </c>
      <c r="D22" s="18">
        <v>180.0</v>
      </c>
      <c r="E22" s="19"/>
      <c r="F22" s="20" t="str">
        <f t="shared" si="5"/>
        <v/>
      </c>
      <c r="G22" s="21">
        <v>0.2</v>
      </c>
      <c r="H22" s="20" t="str">
        <f t="shared" si="6"/>
        <v/>
      </c>
    </row>
    <row r="23" ht="21.75" customHeight="1">
      <c r="A23" s="22" t="s">
        <v>58</v>
      </c>
      <c r="B23" s="23"/>
      <c r="C23" s="23"/>
      <c r="D23" s="23"/>
      <c r="E23" s="24"/>
      <c r="F23" s="25">
        <f>SUMPRODUCT((F18:F22&lt;&gt;"")*IF(ISNUMBER(F18:F22),F18:F22,0))</f>
        <v>0</v>
      </c>
      <c r="G23" s="26"/>
      <c r="H23" s="25">
        <f>SUMPRODUCT((H18:H22&lt;&gt;"")*IF(ISNUMBER(H18:H22),H18:H22,0))</f>
        <v>0</v>
      </c>
    </row>
    <row r="24" ht="19.5" customHeight="1">
      <c r="A24" s="5" t="s">
        <v>223</v>
      </c>
      <c r="B24" s="6"/>
      <c r="C24" s="6"/>
      <c r="D24" s="6"/>
      <c r="E24" s="6"/>
      <c r="F24" s="6"/>
      <c r="G24" s="6"/>
      <c r="H24" s="7"/>
    </row>
    <row r="25" ht="27.75" customHeight="1">
      <c r="A25" s="16" t="s">
        <v>60</v>
      </c>
      <c r="B25" s="17" t="s">
        <v>224</v>
      </c>
      <c r="C25" s="16" t="s">
        <v>20</v>
      </c>
      <c r="D25" s="18">
        <v>1200.0</v>
      </c>
      <c r="E25" s="19"/>
      <c r="F25" s="20" t="str">
        <f t="shared" ref="F25:F28" si="7">IF(E25&lt;&gt;"",D25*E25,"")</f>
        <v/>
      </c>
      <c r="G25" s="21">
        <v>0.2</v>
      </c>
      <c r="H25" s="20" t="str">
        <f t="shared" ref="H25:H28" si="8">IF(F25&lt;&gt;"",F25*(1+G25),"")</f>
        <v/>
      </c>
    </row>
    <row r="26" ht="27.75" customHeight="1">
      <c r="A26" s="16" t="s">
        <v>62</v>
      </c>
      <c r="B26" s="17" t="s">
        <v>225</v>
      </c>
      <c r="C26" s="16" t="s">
        <v>20</v>
      </c>
      <c r="D26" s="18">
        <v>2800.0</v>
      </c>
      <c r="E26" s="19"/>
      <c r="F26" s="20" t="str">
        <f t="shared" si="7"/>
        <v/>
      </c>
      <c r="G26" s="21">
        <v>0.2</v>
      </c>
      <c r="H26" s="20" t="str">
        <f t="shared" si="8"/>
        <v/>
      </c>
    </row>
    <row r="27" ht="27.75" customHeight="1">
      <c r="A27" s="16" t="s">
        <v>64</v>
      </c>
      <c r="B27" s="17" t="s">
        <v>226</v>
      </c>
      <c r="C27" s="16" t="s">
        <v>20</v>
      </c>
      <c r="D27" s="18">
        <v>680.0</v>
      </c>
      <c r="E27" s="19"/>
      <c r="F27" s="20" t="str">
        <f t="shared" si="7"/>
        <v/>
      </c>
      <c r="G27" s="21">
        <v>0.2</v>
      </c>
      <c r="H27" s="20" t="str">
        <f t="shared" si="8"/>
        <v/>
      </c>
    </row>
    <row r="28" ht="27.75" customHeight="1">
      <c r="A28" s="16" t="s">
        <v>66</v>
      </c>
      <c r="B28" s="17" t="s">
        <v>227</v>
      </c>
      <c r="C28" s="16" t="s">
        <v>27</v>
      </c>
      <c r="D28" s="18">
        <v>1200.0</v>
      </c>
      <c r="E28" s="19"/>
      <c r="F28" s="20" t="str">
        <f t="shared" si="7"/>
        <v/>
      </c>
      <c r="G28" s="21">
        <v>0.2</v>
      </c>
      <c r="H28" s="20" t="str">
        <f t="shared" si="8"/>
        <v/>
      </c>
    </row>
    <row r="29" ht="21.75" customHeight="1">
      <c r="A29" s="22" t="s">
        <v>228</v>
      </c>
      <c r="B29" s="23"/>
      <c r="C29" s="23"/>
      <c r="D29" s="23"/>
      <c r="E29" s="24"/>
      <c r="F29" s="25">
        <f>SUMPRODUCT((F25:F28&lt;&gt;"")*IF(ISNUMBER(F25:F28),F25:F28,0))</f>
        <v>0</v>
      </c>
      <c r="G29" s="26"/>
      <c r="H29" s="25">
        <f>SUMPRODUCT((H25:H28&lt;&gt;"")*IF(ISNUMBER(H25:H28),H25:H28,0))</f>
        <v>0</v>
      </c>
    </row>
    <row r="30" ht="19.5" customHeight="1">
      <c r="A30" s="5" t="s">
        <v>229</v>
      </c>
      <c r="B30" s="6"/>
      <c r="C30" s="6"/>
      <c r="D30" s="6"/>
      <c r="E30" s="6"/>
      <c r="F30" s="6"/>
      <c r="G30" s="6"/>
      <c r="H30" s="7"/>
    </row>
    <row r="31" ht="27.75" customHeight="1">
      <c r="A31" s="16" t="s">
        <v>72</v>
      </c>
      <c r="B31" s="17" t="s">
        <v>230</v>
      </c>
      <c r="C31" s="16" t="s">
        <v>20</v>
      </c>
      <c r="D31" s="18">
        <v>4800.0</v>
      </c>
      <c r="E31" s="19"/>
      <c r="F31" s="20" t="str">
        <f t="shared" ref="F31:F35" si="9">IF(E31&lt;&gt;"",D31*E31,"")</f>
        <v/>
      </c>
      <c r="G31" s="21">
        <v>0.2</v>
      </c>
      <c r="H31" s="20" t="str">
        <f t="shared" ref="H31:H35" si="10">IF(F31&lt;&gt;"",F31*(1+G31),"")</f>
        <v/>
      </c>
    </row>
    <row r="32" ht="27.75" customHeight="1">
      <c r="A32" s="16" t="s">
        <v>74</v>
      </c>
      <c r="B32" s="17" t="s">
        <v>231</v>
      </c>
      <c r="C32" s="16" t="s">
        <v>20</v>
      </c>
      <c r="D32" s="18">
        <v>5200.0</v>
      </c>
      <c r="E32" s="19"/>
      <c r="F32" s="20" t="str">
        <f t="shared" si="9"/>
        <v/>
      </c>
      <c r="G32" s="21">
        <v>0.1</v>
      </c>
      <c r="H32" s="20" t="str">
        <f t="shared" si="10"/>
        <v/>
      </c>
    </row>
    <row r="33" ht="27.75" customHeight="1">
      <c r="A33" s="16" t="s">
        <v>76</v>
      </c>
      <c r="B33" s="17" t="s">
        <v>232</v>
      </c>
      <c r="C33" s="16" t="s">
        <v>20</v>
      </c>
      <c r="D33" s="18">
        <v>1800.0</v>
      </c>
      <c r="E33" s="19"/>
      <c r="F33" s="20" t="str">
        <f t="shared" si="9"/>
        <v/>
      </c>
      <c r="G33" s="21">
        <v>0.2</v>
      </c>
      <c r="H33" s="20" t="str">
        <f t="shared" si="10"/>
        <v/>
      </c>
    </row>
    <row r="34" ht="27.75" customHeight="1">
      <c r="A34" s="16" t="s">
        <v>78</v>
      </c>
      <c r="B34" s="17" t="s">
        <v>233</v>
      </c>
      <c r="C34" s="16" t="s">
        <v>55</v>
      </c>
      <c r="D34" s="18">
        <v>138.0</v>
      </c>
      <c r="E34" s="19"/>
      <c r="F34" s="20" t="str">
        <f t="shared" si="9"/>
        <v/>
      </c>
      <c r="G34" s="21">
        <v>0.2</v>
      </c>
      <c r="H34" s="20" t="str">
        <f t="shared" si="10"/>
        <v/>
      </c>
    </row>
    <row r="35" ht="27.75" customHeight="1">
      <c r="A35" s="16" t="s">
        <v>80</v>
      </c>
      <c r="B35" s="17" t="s">
        <v>234</v>
      </c>
      <c r="C35" s="16" t="s">
        <v>27</v>
      </c>
      <c r="D35" s="18">
        <v>1800.0</v>
      </c>
      <c r="E35" s="19"/>
      <c r="F35" s="20" t="str">
        <f t="shared" si="9"/>
        <v/>
      </c>
      <c r="G35" s="21">
        <v>0.2</v>
      </c>
      <c r="H35" s="20" t="str">
        <f t="shared" si="10"/>
        <v/>
      </c>
    </row>
    <row r="36" ht="21.75" customHeight="1">
      <c r="A36" s="22" t="s">
        <v>235</v>
      </c>
      <c r="B36" s="23"/>
      <c r="C36" s="23"/>
      <c r="D36" s="23"/>
      <c r="E36" s="24"/>
      <c r="F36" s="25">
        <f>SUMPRODUCT((F31:F35&lt;&gt;"")*IF(ISNUMBER(F31:F35),F31:F35,0))</f>
        <v>0</v>
      </c>
      <c r="G36" s="26"/>
      <c r="H36" s="25">
        <f>SUMPRODUCT((H31:H35&lt;&gt;"")*IF(ISNUMBER(H31:H35),H31:H35,0))</f>
        <v>0</v>
      </c>
    </row>
    <row r="37" ht="19.5" customHeight="1">
      <c r="A37" s="5" t="s">
        <v>236</v>
      </c>
      <c r="B37" s="6"/>
      <c r="C37" s="6"/>
      <c r="D37" s="6"/>
      <c r="E37" s="6"/>
      <c r="F37" s="6"/>
      <c r="G37" s="6"/>
      <c r="H37" s="7"/>
    </row>
    <row r="38" ht="27.75" customHeight="1">
      <c r="A38" s="16" t="s">
        <v>84</v>
      </c>
      <c r="B38" s="17" t="s">
        <v>237</v>
      </c>
      <c r="C38" s="16" t="s">
        <v>20</v>
      </c>
      <c r="D38" s="18">
        <v>2800.0</v>
      </c>
      <c r="E38" s="19"/>
      <c r="F38" s="20" t="str">
        <f t="shared" ref="F38:F41" si="11">IF(E38&lt;&gt;"",D38*E38,"")</f>
        <v/>
      </c>
      <c r="G38" s="21">
        <v>0.2</v>
      </c>
      <c r="H38" s="20" t="str">
        <f t="shared" ref="H38:H41" si="12">IF(F38&lt;&gt;"",F38*(1+G38),"")</f>
        <v/>
      </c>
    </row>
    <row r="39" ht="27.75" customHeight="1">
      <c r="A39" s="16" t="s">
        <v>86</v>
      </c>
      <c r="B39" s="17" t="s">
        <v>238</v>
      </c>
      <c r="C39" s="16" t="s">
        <v>27</v>
      </c>
      <c r="D39" s="18">
        <v>2200.0</v>
      </c>
      <c r="E39" s="19"/>
      <c r="F39" s="20" t="str">
        <f t="shared" si="11"/>
        <v/>
      </c>
      <c r="G39" s="21">
        <v>0.2</v>
      </c>
      <c r="H39" s="20" t="str">
        <f t="shared" si="12"/>
        <v/>
      </c>
    </row>
    <row r="40" ht="27.75" customHeight="1">
      <c r="A40" s="16" t="s">
        <v>88</v>
      </c>
      <c r="B40" s="17" t="s">
        <v>239</v>
      </c>
      <c r="C40" s="16" t="s">
        <v>40</v>
      </c>
      <c r="D40" s="18">
        <v>1.0</v>
      </c>
      <c r="E40" s="19"/>
      <c r="F40" s="20" t="str">
        <f t="shared" si="11"/>
        <v/>
      </c>
      <c r="G40" s="21">
        <v>0.2</v>
      </c>
      <c r="H40" s="20" t="str">
        <f t="shared" si="12"/>
        <v/>
      </c>
    </row>
    <row r="41" ht="27.75" customHeight="1">
      <c r="A41" s="16" t="s">
        <v>92</v>
      </c>
      <c r="B41" s="17" t="s">
        <v>240</v>
      </c>
      <c r="C41" s="16" t="s">
        <v>40</v>
      </c>
      <c r="D41" s="18">
        <v>1.0</v>
      </c>
      <c r="E41" s="19"/>
      <c r="F41" s="20" t="str">
        <f t="shared" si="11"/>
        <v/>
      </c>
      <c r="G41" s="21">
        <v>0.2</v>
      </c>
      <c r="H41" s="20" t="str">
        <f t="shared" si="12"/>
        <v/>
      </c>
    </row>
    <row r="42" ht="21.75" customHeight="1">
      <c r="A42" s="22" t="s">
        <v>241</v>
      </c>
      <c r="B42" s="23"/>
      <c r="C42" s="23"/>
      <c r="D42" s="23"/>
      <c r="E42" s="24"/>
      <c r="F42" s="25">
        <f>SUMPRODUCT((F38:F41&lt;&gt;"")*IF(ISNUMBER(F38:F41),F38:F41,0))</f>
        <v>0</v>
      </c>
      <c r="G42" s="26"/>
      <c r="H42" s="25">
        <f>SUMPRODUCT((H38:H41&lt;&gt;"")*IF(ISNUMBER(H38:H41),H38:H41,0))</f>
        <v>0</v>
      </c>
    </row>
    <row r="43" ht="15.75" customHeight="1"/>
    <row r="44" ht="21.75" customHeight="1">
      <c r="A44" s="33" t="s">
        <v>242</v>
      </c>
      <c r="B44" s="6"/>
      <c r="C44" s="6"/>
      <c r="D44" s="6"/>
      <c r="E44" s="7"/>
      <c r="F44" s="25">
        <f>SUM(F10,F16,F23,F29,F36,F42)*0.05</f>
        <v>0</v>
      </c>
      <c r="G44" s="26"/>
      <c r="H44" s="25">
        <f>SUM(H10,H16,H23,H29,H36,H42)*0.05</f>
        <v>0</v>
      </c>
    </row>
    <row r="45" ht="27.75" customHeight="1">
      <c r="A45" s="27" t="s">
        <v>243</v>
      </c>
      <c r="B45" s="23"/>
      <c r="C45" s="23"/>
      <c r="D45" s="23"/>
      <c r="E45" s="24"/>
      <c r="F45" s="28">
        <f>SUM(F10,F16,F23,F29,F36,F42)+F44</f>
        <v>0</v>
      </c>
      <c r="G45" s="29"/>
      <c r="H45" s="28">
        <f>SUM(H10,H16,H23,H29,H36,H42)+H44</f>
        <v>0</v>
      </c>
    </row>
    <row r="46" ht="15.75" customHeight="1"/>
    <row r="47" ht="39.75" customHeight="1">
      <c r="A47" s="9" t="s">
        <v>244</v>
      </c>
      <c r="B47" s="6"/>
      <c r="C47" s="6"/>
      <c r="D47" s="6"/>
      <c r="E47" s="6"/>
      <c r="F47" s="6"/>
      <c r="G47" s="6"/>
      <c r="H47" s="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H1"/>
    <mergeCell ref="A2:H2"/>
    <mergeCell ref="A3:H3"/>
    <mergeCell ref="A5:H5"/>
    <mergeCell ref="A10:E10"/>
    <mergeCell ref="A11:H11"/>
    <mergeCell ref="A17:H17"/>
    <mergeCell ref="A42:E42"/>
    <mergeCell ref="A44:E44"/>
    <mergeCell ref="A45:E45"/>
    <mergeCell ref="A47:H47"/>
    <mergeCell ref="A16:E16"/>
    <mergeCell ref="A23:E23"/>
    <mergeCell ref="A24:H24"/>
    <mergeCell ref="A29:E29"/>
    <mergeCell ref="A30:H30"/>
    <mergeCell ref="A36:E36"/>
    <mergeCell ref="A37:H37"/>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24.0"/>
    <col customWidth="1" min="3" max="3" width="14.0"/>
    <col customWidth="1" min="4" max="4" width="24.0"/>
    <col customWidth="1" min="5" max="5" width="16.0"/>
    <col customWidth="1" min="6" max="26" width="8.71"/>
  </cols>
  <sheetData>
    <row r="1" ht="49.5" customHeight="1">
      <c r="A1" s="34" t="s">
        <v>245</v>
      </c>
      <c r="B1" s="2"/>
      <c r="C1" s="2"/>
      <c r="D1" s="2"/>
      <c r="E1" s="3"/>
    </row>
    <row r="2" ht="27.75" customHeight="1">
      <c r="A2" s="9" t="s">
        <v>246</v>
      </c>
      <c r="B2" s="6"/>
      <c r="C2" s="6"/>
      <c r="D2" s="6"/>
      <c r="E2" s="7"/>
    </row>
    <row r="4" ht="34.5" customHeight="1">
      <c r="A4" s="15" t="s">
        <v>247</v>
      </c>
      <c r="B4" s="15" t="s">
        <v>248</v>
      </c>
      <c r="C4" s="15" t="s">
        <v>249</v>
      </c>
      <c r="D4" s="15" t="s">
        <v>250</v>
      </c>
      <c r="E4" s="15" t="s">
        <v>251</v>
      </c>
    </row>
    <row r="5" ht="31.5" customHeight="1">
      <c r="A5" s="17" t="s">
        <v>252</v>
      </c>
      <c r="B5" s="17" t="s">
        <v>253</v>
      </c>
      <c r="C5" s="17" t="s">
        <v>254</v>
      </c>
      <c r="D5" s="17" t="s">
        <v>255</v>
      </c>
      <c r="E5" s="17" t="s">
        <v>256</v>
      </c>
    </row>
    <row r="6" ht="31.5" customHeight="1">
      <c r="A6" s="32" t="s">
        <v>257</v>
      </c>
      <c r="B6" s="32" t="s">
        <v>253</v>
      </c>
      <c r="C6" s="32" t="s">
        <v>258</v>
      </c>
      <c r="D6" s="32" t="s">
        <v>255</v>
      </c>
      <c r="E6" s="32" t="s">
        <v>259</v>
      </c>
    </row>
    <row r="7" ht="31.5" customHeight="1">
      <c r="A7" s="17" t="s">
        <v>260</v>
      </c>
      <c r="B7" s="17" t="s">
        <v>261</v>
      </c>
      <c r="C7" s="17" t="s">
        <v>262</v>
      </c>
      <c r="D7" s="17" t="s">
        <v>263</v>
      </c>
      <c r="E7" s="17" t="s">
        <v>264</v>
      </c>
    </row>
    <row r="9" ht="21.75" customHeight="1">
      <c r="A9" s="35" t="s">
        <v>265</v>
      </c>
      <c r="B9" s="6"/>
      <c r="C9" s="6"/>
      <c r="D9" s="6"/>
      <c r="E9" s="7"/>
    </row>
    <row r="10" ht="30.0" customHeight="1">
      <c r="A10" s="15" t="s">
        <v>266</v>
      </c>
      <c r="B10" s="15" t="s">
        <v>267</v>
      </c>
      <c r="C10" s="15" t="s">
        <v>268</v>
      </c>
      <c r="D10" s="15" t="s">
        <v>269</v>
      </c>
      <c r="E10" s="15" t="s">
        <v>270</v>
      </c>
    </row>
    <row r="11" ht="27.75" customHeight="1">
      <c r="A11" s="17" t="s">
        <v>271</v>
      </c>
      <c r="B11" s="17" t="s">
        <v>272</v>
      </c>
      <c r="C11" s="17" t="s">
        <v>273</v>
      </c>
      <c r="D11" s="17" t="s">
        <v>274</v>
      </c>
      <c r="E11" s="17" t="s">
        <v>275</v>
      </c>
    </row>
    <row r="12" ht="27.75" customHeight="1">
      <c r="A12" s="32" t="s">
        <v>276</v>
      </c>
      <c r="B12" s="32" t="s">
        <v>277</v>
      </c>
      <c r="C12" s="32" t="s">
        <v>273</v>
      </c>
      <c r="D12" s="32" t="s">
        <v>278</v>
      </c>
      <c r="E12" s="32" t="s">
        <v>279</v>
      </c>
    </row>
    <row r="13" ht="27.75" customHeight="1">
      <c r="A13" s="17" t="s">
        <v>280</v>
      </c>
      <c r="B13" s="17" t="s">
        <v>281</v>
      </c>
      <c r="C13" s="17" t="s">
        <v>273</v>
      </c>
      <c r="D13" s="17" t="s">
        <v>282</v>
      </c>
      <c r="E13" s="17" t="s">
        <v>283</v>
      </c>
    </row>
    <row r="14" ht="27.75" customHeight="1">
      <c r="A14" s="32" t="s">
        <v>284</v>
      </c>
      <c r="B14" s="32" t="s">
        <v>285</v>
      </c>
      <c r="C14" s="32" t="s">
        <v>273</v>
      </c>
      <c r="D14" s="32" t="s">
        <v>286</v>
      </c>
      <c r="E14" s="32" t="s">
        <v>287</v>
      </c>
    </row>
    <row r="15" ht="27.75" customHeight="1">
      <c r="A15" s="17" t="s">
        <v>288</v>
      </c>
      <c r="B15" s="17" t="s">
        <v>289</v>
      </c>
      <c r="C15" s="17" t="s">
        <v>273</v>
      </c>
      <c r="D15" s="17" t="s">
        <v>290</v>
      </c>
      <c r="E15" s="17" t="s">
        <v>291</v>
      </c>
    </row>
    <row r="16" ht="27.75" customHeight="1">
      <c r="A16" s="32" t="s">
        <v>292</v>
      </c>
      <c r="B16" s="32" t="s">
        <v>293</v>
      </c>
      <c r="C16" s="32" t="s">
        <v>294</v>
      </c>
      <c r="D16" s="32" t="s">
        <v>295</v>
      </c>
      <c r="E16" s="32" t="s">
        <v>296</v>
      </c>
    </row>
    <row r="17" ht="27.75" customHeight="1">
      <c r="A17" s="17" t="s">
        <v>297</v>
      </c>
      <c r="B17" s="17" t="s">
        <v>298</v>
      </c>
      <c r="C17" s="17" t="s">
        <v>273</v>
      </c>
      <c r="D17" s="17" t="s">
        <v>299</v>
      </c>
      <c r="E17" s="17" t="s">
        <v>300</v>
      </c>
    </row>
    <row r="18" ht="27.75" customHeight="1">
      <c r="A18" s="32" t="s">
        <v>301</v>
      </c>
      <c r="B18" s="32" t="s">
        <v>302</v>
      </c>
      <c r="C18" s="32" t="s">
        <v>273</v>
      </c>
      <c r="D18" s="32" t="s">
        <v>303</v>
      </c>
      <c r="E18" s="32" t="s">
        <v>304</v>
      </c>
    </row>
    <row r="20" ht="49.5" customHeight="1">
      <c r="A20" s="30" t="s">
        <v>305</v>
      </c>
      <c r="B20" s="6"/>
      <c r="C20" s="6"/>
      <c r="D20" s="6"/>
      <c r="E20"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9:E9"/>
    <mergeCell ref="A20:E20"/>
  </mergeCells>
  <printOptions/>
  <pageMargins bottom="1.0" footer="0.0" header="0.0" left="0.75" right="0.75" top="1.0"/>
  <pageSetup paperSize="9" orientation="portrait"/>
  <drawing r:id="rId1"/>
</worksheet>
</file>