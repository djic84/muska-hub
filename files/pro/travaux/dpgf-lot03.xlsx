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T N3 - REVETEMENTS DE SOLS DU" sheetId="1" r:id="rId4"/>
    <sheet state="visible" name="Feuille 1" sheetId="2" r:id="rId5"/>
  </sheets>
  <definedNames/>
  <calcPr/>
  <extLst>
    <ext uri="GoogleSheetsCustomDataVersion2">
      <go:sheetsCustomData xmlns:go="http://customooxmlschemas.google.com/" r:id="rId6" roundtripDataChecksum="XlFpck4ttoSgjOO5y/c0CZN61UizwxLO1C6Kkn8IDeI="/>
    </ext>
  </extLst>
</workbook>
</file>

<file path=xl/sharedStrings.xml><?xml version="1.0" encoding="utf-8"?>
<sst xmlns="http://schemas.openxmlformats.org/spreadsheetml/2006/main" count="207" uniqueCount="86">
  <si>
    <t>Désignation</t>
  </si>
  <si>
    <t>U</t>
  </si>
  <si>
    <t>Quantité MOE</t>
  </si>
  <si>
    <t>Prix HT en €</t>
  </si>
  <si>
    <t>Total HT en €</t>
  </si>
  <si>
    <t>PRESCRIPTIONS TECHNIQUES PARTICULIERES</t>
  </si>
  <si>
    <t>CH3</t>
  </si>
  <si>
    <t>3.1. ISOLATION ACOUSTIQUE SOUS REVÊTEMENT</t>
  </si>
  <si>
    <t>3.1.1. Sous-couches acoustiques sous chape flottante</t>
  </si>
  <si>
    <t>m2</t>
  </si>
  <si>
    <t xml:space="preserve">3.2. CHAPE FLUIDE BETON BAS CARBONE </t>
  </si>
  <si>
    <t>CH4</t>
  </si>
  <si>
    <t>3.2.1. Liant : ciment bas carbone CEM II/B-M ou CEM III/A 32,5 R</t>
  </si>
  <si>
    <t>3.3. REVÊTEMENTS CARRELÉS GRAND FORMAT</t>
  </si>
  <si>
    <t>3.3.1. Fourniture et pose de grès cérame imitation travertin 90 x 90 cm (11mm)</t>
  </si>
  <si>
    <t>ART</t>
  </si>
  <si>
    <t>000-B804</t>
  </si>
  <si>
    <t>3.3.2. Joints de carrelage (2 mm)</t>
  </si>
  <si>
    <t>000-B802</t>
  </si>
  <si>
    <t xml:space="preserve">3.3.3. Plinthes assorties en grès cérame effet travertin </t>
  </si>
  <si>
    <t>ml</t>
  </si>
  <si>
    <t>000-F757</t>
  </si>
  <si>
    <t>3.4. FAÏENCE MURALE</t>
  </si>
  <si>
    <t>3.4.1. Fourniture et pose de faïence céramique format allongé brillant 7,5 × 30 cm</t>
  </si>
  <si>
    <t>000-B809</t>
  </si>
  <si>
    <t>3.4.3. SPEC</t>
  </si>
  <si>
    <t xml:space="preserve">3.4.5. Joints silicone fongicide </t>
  </si>
  <si>
    <t>000-K291</t>
  </si>
  <si>
    <t>3.5.  REVÊTEMENTS EXTÉRIEURS</t>
  </si>
  <si>
    <t>3.5.1. Fourniture et pose de revêtement de sol extérieur en dalles de grès cérame pleine masse imitation travertin, format 90x90 cm, épaisseur 20 mm</t>
  </si>
  <si>
    <t>000-B815</t>
  </si>
  <si>
    <t>3.5.2  Pose sur plots</t>
  </si>
  <si>
    <t>3.6. SEUILS, PROFILS ET BARRES DE JONCTION</t>
  </si>
  <si>
    <t xml:space="preserve">3.6.1. Profil de transition plat en laiton massif brossé </t>
  </si>
  <si>
    <t>000-F756</t>
  </si>
  <si>
    <t xml:space="preserve">3.6.2. Profil rampant (pente 1/3) en cas de différence de niveau ≤ 20 mm en laiton massif </t>
  </si>
  <si>
    <t>000-C746</t>
  </si>
  <si>
    <t xml:space="preserve">3.6.3. Profil d'arrêt en L (joint sol-mur ou sol-marche) en laiton massif brossé </t>
  </si>
  <si>
    <t>000-F752</t>
  </si>
  <si>
    <t>3.6.4. Profil  de dilatation structurel, finition métal coordonnée, insert souple coordonné et cornières laiton massif</t>
  </si>
  <si>
    <t>000-F753</t>
  </si>
  <si>
    <t>3.7. REVÊTEMENTS SOL DES PARTIES COMMUNES (libres et abordables)</t>
  </si>
  <si>
    <t>3.7.1. Terrazzo éco-conçu – Granulats de verre recyclé
Fourniture et pose de revêtement de sol en terrazzo éco-conçu, réalisé à partir de granulats issus de bouteilles de verre recyclées et de liant minéral bas carbone. Mise en œuvre selon les règles de l'art, ponçage et polissage jusqu'à brillance, jointement étanche. Épaisseur finie conforme aux prescriptions du DTU.</t>
  </si>
  <si>
    <t>000-K289</t>
  </si>
  <si>
    <t>3.7.2. Plinthes massives assorties au revêtement. Fourniture et pose de plinthes massives en terrazzo verre recyclé assorties au revêtement de sol, hauteur 70 mm, finition polie. Fixation et jointoiement soignés en pied de cloison.</t>
  </si>
  <si>
    <t>3.7.4. Cage d'escalier – Terrazzo verre recyclé, finition antidérapante R10
Fourniture et pose de revêtement de sol en terrazzo éco-conçu (granulats de verre recyclé) dans la cage d'escalier, finition antidérapante classement R10. Prestation comprenant la quote-part de palier, les plinthes et l'ensemble de la main d'œuvre associée.</t>
  </si>
  <si>
    <t xml:space="preserve">U </t>
  </si>
  <si>
    <t>3.7.5. Paillasson  de sol du hall d'entrée 120 x 80 cm</t>
  </si>
  <si>
    <t>3.8. REVÊTEMENTS SOL LOCAL VELO (libres, abordables, sociaux)</t>
  </si>
  <si>
    <t>3.8.1. Carrelage grés cérame 45 x 45 résistance PEI IV - beige</t>
  </si>
  <si>
    <t>3.8.2. Joint de fractionnement périphérique et d'étanchéité</t>
  </si>
  <si>
    <t>3.8.3. Faïence murale : carrelage grés cérame 45 x 45 résistance PEI IV - beige</t>
  </si>
  <si>
    <t>3.9. LOCAUX TECHNIQUES COMMUNS</t>
  </si>
  <si>
    <t>3.9.1. PVC compact U4P3</t>
  </si>
  <si>
    <t xml:space="preserve"> 3.10. Nettoyage et évacuation des déchets</t>
  </si>
  <si>
    <t xml:space="preserve">Forfait </t>
  </si>
  <si>
    <t>1,5% à 2% du montant total de votre lot.</t>
  </si>
  <si>
    <t xml:space="preserve">Montant HT du Lot N°03 Revêtements de sols durs </t>
  </si>
  <si>
    <t>TOTHT</t>
  </si>
  <si>
    <t>Taux TVA</t>
  </si>
  <si>
    <t>TAUX_TVA</t>
  </si>
  <si>
    <t>Montant TVA</t>
  </si>
  <si>
    <t>TVA</t>
  </si>
  <si>
    <t>Montant TTC</t>
  </si>
  <si>
    <t>TOTTTC</t>
  </si>
  <si>
    <t>NUMERO DU DEVIS</t>
  </si>
  <si>
    <t>DATE DU DEVIS</t>
  </si>
  <si>
    <t>DURÉE DE VALIDITÉ DU DEVIS</t>
  </si>
  <si>
    <t>Prix en €</t>
  </si>
  <si>
    <t>Total en €</t>
  </si>
  <si>
    <t>3.3.1. Fourniture et pose carrelage grès cérame émaillé 45 x 45 cm, finition mate</t>
  </si>
  <si>
    <t>3.3.3.Plinthes</t>
  </si>
  <si>
    <t>3.4.1. Fourniture et pose faïence céramique format allongé brillant 20x40</t>
  </si>
  <si>
    <t>3.5.1. Fourniture et pose grès cérame imitation travertin extérieur antidérapant R11 format 45 x 45 cm</t>
  </si>
  <si>
    <t>3.6. SEUILS, PROFILS ET BARRES DE JONCTION (sociaux uniquement)</t>
  </si>
  <si>
    <t xml:space="preserve">3.6.1. Profil de transition plat en inox brossé </t>
  </si>
  <si>
    <t>3.6.2. Profil rampant (pente 1/3) en cas de différence de niveau ≤ 20 mm en inox brossé</t>
  </si>
  <si>
    <t xml:space="preserve">3.6.3. Profil d'arrêt en L (joint sol-mur ou sol-marche) en inox brossé </t>
  </si>
  <si>
    <t xml:space="preserve">3.6.4. Profil  de dilatation au droit des joints structurels, finition métal coordonnée </t>
  </si>
  <si>
    <t>3.7. REVÊTEMENTS SOL DES PARTIES COMMUNES (sociaux uniquement)</t>
  </si>
  <si>
    <t xml:space="preserve">3.7.1.  Carrelage grès cérame imitation travertin 45 x 45 cm, finition soie/lappato </t>
  </si>
  <si>
    <t>3.7.2. Plinthes assorties en Grès Cérame 60 x 7 cm</t>
  </si>
  <si>
    <t xml:space="preserve">3.7.3. Joints sous plinthes </t>
  </si>
  <si>
    <t>3.7.4. Paillasson  de sol du hall d'entrée 120 x 80 cm</t>
  </si>
  <si>
    <t xml:space="preserve">3.8.1. Carrelage grés cérame 45 x 45 résistance PEI IV </t>
  </si>
  <si>
    <t>Forfait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</si>
</sst>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00;"/>
    <numFmt numFmtId="165" formatCode="#,##0.00\ [$€-1]"/>
    <numFmt numFmtId="166" formatCode="D/M/YYYY"/>
    <numFmt numFmtId="167" formatCode="#,##0.000;\-#,##0.000;"/>
    <numFmt numFmtId="168" formatCode="#,##0;\-#,##0;"/>
    <numFmt numFmtId="169" formatCode="#,##0.0;\-#,##0.0;"/>
  </numFmts>
  <fonts count="17">
    <font>
      <sz val="11.0"/>
      <color theme="1"/>
      <name val="Calibri"/>
      <scheme val="minor"/>
    </font>
    <font>
      <sz val="11.0"/>
      <color theme="1"/>
      <name val="Calibri"/>
    </font>
    <font/>
    <font>
      <b/>
      <sz val="11.0"/>
      <color theme="1"/>
      <name val="Calibri"/>
    </font>
    <font>
      <b/>
      <sz val="14.0"/>
      <color rgb="FF0000FF"/>
      <name val="Calibri"/>
    </font>
    <font>
      <b/>
      <sz val="14.0"/>
      <color rgb="FF980000"/>
      <name val="Calibri"/>
    </font>
    <font>
      <color theme="1"/>
      <name val="Calibri"/>
      <scheme val="minor"/>
    </font>
    <font>
      <i/>
      <sz val="10.0"/>
      <color rgb="FF000000"/>
      <name val="Calibri"/>
    </font>
    <font>
      <b/>
      <sz val="12.0"/>
      <color rgb="FF000000"/>
      <name val="Calibri"/>
    </font>
    <font>
      <sz val="10.0"/>
      <color rgb="FF000000"/>
      <name val="Calibri"/>
    </font>
    <font>
      <sz val="11.0"/>
      <color rgb="FF000000"/>
      <name val="Calibri"/>
      <scheme val="minor"/>
    </font>
    <font>
      <sz val="10.0"/>
      <color theme="1"/>
      <name val="Calibri"/>
    </font>
    <font>
      <b/>
      <sz val="12.0"/>
      <color theme="1"/>
      <name val="Calibri"/>
    </font>
    <font>
      <sz val="12.0"/>
      <color rgb="FF000000"/>
      <name val="Calibri"/>
    </font>
    <font>
      <sz val="12.0"/>
      <color rgb="FF000000"/>
      <name val="Comic Sans MS"/>
    </font>
    <font>
      <sz val="10.0"/>
      <color rgb="FF000000"/>
      <name val="Comic Sans MS"/>
    </font>
    <font>
      <sz val="11.0"/>
      <color rgb="FF000000"/>
      <name val="Calibri"/>
    </font>
  </fonts>
  <fills count="5">
    <fill>
      <patternFill patternType="none"/>
    </fill>
    <fill>
      <patternFill patternType="lightGray"/>
    </fill>
    <fill>
      <patternFill patternType="solid">
        <fgColor rgb="FFD9D9D9"/>
        <bgColor rgb="FFD9D9D9"/>
      </patternFill>
    </fill>
    <fill>
      <patternFill patternType="solid">
        <fgColor rgb="FFE0E0E0"/>
        <bgColor rgb="FFE0E0E0"/>
      </patternFill>
    </fill>
    <fill>
      <patternFill patternType="solid">
        <fgColor rgb="FFCCCCCC"/>
        <bgColor rgb="FFCCCCCC"/>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910606"/>
      </bottom>
    </border>
    <border>
      <right style="hair">
        <color rgb="FF000000"/>
      </right>
      <top style="thin">
        <color rgb="FF000000"/>
      </top>
      <bottom style="thin">
        <color rgb="FF910606"/>
      </bottom>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thin">
        <color rgb="FF910606"/>
      </left>
      <top style="thin">
        <color rgb="FF910606"/>
      </top>
      <bottom style="thin">
        <color rgb="FF910606"/>
      </bottom>
    </border>
    <border>
      <right style="hair">
        <color rgb="FF910606"/>
      </right>
      <top style="thin">
        <color rgb="FF910606"/>
      </top>
      <bottom style="thin">
        <color rgb="FF910606"/>
      </bottom>
    </border>
    <border>
      <left style="hair">
        <color rgb="FF000000"/>
      </left>
      <right style="hair">
        <color rgb="FF000000"/>
      </right>
    </border>
    <border>
      <left style="hair">
        <color rgb="FF000000"/>
      </left>
      <right style="thin">
        <color rgb="FF000000"/>
      </right>
    </border>
    <border>
      <left style="thin">
        <color rgb="FF000000"/>
      </left>
    </border>
    <border>
      <left style="thin">
        <color rgb="FF000000"/>
      </left>
      <right/>
      <top/>
      <bottom/>
    </border>
    <border>
      <left/>
      <right style="hair">
        <color rgb="FF000000"/>
      </right>
      <top/>
      <bottom/>
    </border>
    <border>
      <right style="hair">
        <color rgb="FF000000"/>
      </right>
    </border>
    <border>
      <left style="hair">
        <color rgb="FF000000"/>
      </left>
      <right style="dotted">
        <color rgb="FF000000"/>
      </right>
    </border>
    <border>
      <right style="dotted">
        <color rgb="FF000000"/>
      </right>
    </border>
    <border>
      <right style="thin">
        <color rgb="FF000000"/>
      </right>
    </border>
    <border>
      <top style="thin">
        <color rgb="FF000000"/>
      </top>
    </border>
    <border>
      <left style="dotted">
        <color rgb="FF000000"/>
      </left>
      <right style="dotted">
        <color rgb="FF000000"/>
      </right>
    </border>
    <border>
      <top style="hair">
        <color rgb="FF000000"/>
      </top>
      <bottom style="thin">
        <color rgb="FF000000"/>
      </bottom>
    </border>
    <border>
      <right style="hair">
        <color rgb="FF000000"/>
      </right>
      <top style="hair">
        <color rgb="FF000000"/>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0" fontId="1" numFmtId="49" xfId="0" applyAlignment="1" applyBorder="1" applyFont="1" applyNumberFormat="1">
      <alignment horizontal="left" shrinkToFit="0" vertical="top" wrapText="1"/>
    </xf>
    <xf borderId="2" fillId="0" fontId="2" numFmtId="0" xfId="0" applyBorder="1" applyFont="1"/>
    <xf borderId="3" fillId="0" fontId="2" numFmtId="0" xfId="0" applyBorder="1" applyFont="1"/>
    <xf borderId="3" fillId="0" fontId="1" numFmtId="0" xfId="0" applyAlignment="1" applyBorder="1" applyFont="1">
      <alignment horizontal="center" shrinkToFit="0" vertical="top" wrapText="1"/>
    </xf>
    <xf borderId="4" fillId="0" fontId="3" numFmtId="0" xfId="0" applyAlignment="1" applyBorder="1" applyFont="1">
      <alignment horizontal="center" shrinkToFit="0" vertical="top" wrapText="1"/>
    </xf>
    <xf borderId="4" fillId="0" fontId="3" numFmtId="164" xfId="0" applyAlignment="1" applyBorder="1" applyFont="1" applyNumberFormat="1">
      <alignment horizontal="center" shrinkToFit="0" vertical="top" wrapText="1"/>
    </xf>
    <xf borderId="4" fillId="0" fontId="3" numFmtId="165" xfId="0" applyAlignment="1" applyBorder="1" applyFont="1" applyNumberFormat="1">
      <alignment horizontal="center" readingOrder="0" shrinkToFit="0" vertical="top" wrapText="1"/>
    </xf>
    <xf borderId="4" fillId="0" fontId="3" numFmtId="165" xfId="0" applyAlignment="1" applyBorder="1" applyFont="1" applyNumberFormat="1">
      <alignment horizontal="right" readingOrder="0" shrinkToFit="0" vertical="top" wrapText="1"/>
    </xf>
    <xf borderId="5" fillId="0" fontId="1" numFmtId="49" xfId="0" applyAlignment="1" applyBorder="1" applyFont="1" applyNumberFormat="1">
      <alignment horizontal="left" shrinkToFit="0" vertical="top" wrapText="1"/>
    </xf>
    <xf borderId="6" fillId="0" fontId="1" numFmtId="0" xfId="0" applyAlignment="1" applyBorder="1" applyFont="1">
      <alignment horizontal="left" shrinkToFit="0" vertical="top" wrapText="1"/>
    </xf>
    <xf borderId="7" fillId="0" fontId="1" numFmtId="0" xfId="0" applyAlignment="1" applyBorder="1" applyFont="1">
      <alignment horizontal="center" shrinkToFit="0" vertical="top" wrapText="1"/>
    </xf>
    <xf borderId="7" fillId="0" fontId="1" numFmtId="164" xfId="0" applyAlignment="1" applyBorder="1" applyFont="1" applyNumberFormat="1">
      <alignment horizontal="center" shrinkToFit="0" vertical="top" wrapText="1"/>
    </xf>
    <xf borderId="7" fillId="0" fontId="1" numFmtId="165" xfId="0" applyAlignment="1" applyBorder="1" applyFont="1" applyNumberFormat="1">
      <alignment horizontal="center" shrinkToFit="0" vertical="top" wrapText="1"/>
    </xf>
    <xf borderId="8" fillId="0" fontId="1" numFmtId="165" xfId="0" applyAlignment="1" applyBorder="1" applyFont="1" applyNumberFormat="1">
      <alignment horizontal="left" shrinkToFit="0" vertical="top" wrapText="1"/>
    </xf>
    <xf borderId="9" fillId="0" fontId="4" numFmtId="49" xfId="0" applyAlignment="1" applyBorder="1" applyFont="1" applyNumberFormat="1">
      <alignment horizontal="left" shrinkToFit="0" vertical="top" wrapText="1"/>
    </xf>
    <xf borderId="10" fillId="0" fontId="5" numFmtId="0" xfId="0" applyAlignment="1" applyBorder="1" applyFont="1">
      <alignment horizontal="left" shrinkToFit="0" vertical="top" wrapText="1"/>
    </xf>
    <xf borderId="11" fillId="0" fontId="1" numFmtId="0" xfId="0" applyAlignment="1" applyBorder="1" applyFont="1">
      <alignment horizontal="center" shrinkToFit="0" vertical="top" wrapText="1"/>
    </xf>
    <xf borderId="11" fillId="0" fontId="1" numFmtId="164" xfId="0" applyAlignment="1" applyBorder="1" applyFont="1" applyNumberFormat="1">
      <alignment horizontal="center" shrinkToFit="0" vertical="top" wrapText="1"/>
    </xf>
    <xf borderId="11" fillId="0" fontId="1" numFmtId="165" xfId="0" applyAlignment="1" applyBorder="1" applyFont="1" applyNumberFormat="1">
      <alignment horizontal="center" shrinkToFit="0" vertical="top" wrapText="1"/>
    </xf>
    <xf borderId="12" fillId="0" fontId="1" numFmtId="165" xfId="0" applyAlignment="1" applyBorder="1" applyFont="1" applyNumberFormat="1">
      <alignment horizontal="left" shrinkToFit="0" vertical="top" wrapText="1"/>
    </xf>
    <xf borderId="0" fillId="0" fontId="6" numFmtId="0" xfId="0" applyFont="1"/>
    <xf borderId="0" fillId="0" fontId="1" numFmtId="49" xfId="0" applyAlignment="1" applyFont="1" applyNumberFormat="1">
      <alignment horizontal="left" shrinkToFit="0" vertical="top" wrapText="1"/>
    </xf>
    <xf borderId="13" fillId="2" fontId="7" numFmtId="49" xfId="0" applyAlignment="1" applyBorder="1" applyFill="1" applyFont="1" applyNumberFormat="1">
      <alignment horizontal="left" shrinkToFit="0" vertical="top" wrapText="1"/>
    </xf>
    <xf borderId="0" fillId="2" fontId="8" numFmtId="0" xfId="0" applyAlignment="1" applyFont="1">
      <alignment readingOrder="0"/>
    </xf>
    <xf borderId="11" fillId="2" fontId="1" numFmtId="0" xfId="0" applyAlignment="1" applyBorder="1" applyFont="1">
      <alignment horizontal="center" vertical="top"/>
    </xf>
    <xf borderId="11" fillId="2" fontId="1" numFmtId="164" xfId="0" applyAlignment="1" applyBorder="1" applyFont="1" applyNumberFormat="1">
      <alignment horizontal="center" shrinkToFit="0" vertical="top" wrapText="1"/>
    </xf>
    <xf borderId="11" fillId="2" fontId="1" numFmtId="165" xfId="0" applyAlignment="1" applyBorder="1" applyFont="1" applyNumberFormat="1">
      <alignment horizontal="center" shrinkToFit="0" vertical="top" wrapText="1"/>
    </xf>
    <xf borderId="12" fillId="2" fontId="1" numFmtId="165" xfId="0" applyAlignment="1" applyBorder="1" applyFont="1" applyNumberFormat="1">
      <alignment horizontal="right" shrinkToFit="0" vertical="top" wrapText="1"/>
    </xf>
    <xf borderId="13" fillId="0" fontId="7" numFmtId="49" xfId="0" applyAlignment="1" applyBorder="1" applyFont="1" applyNumberFormat="1">
      <alignment horizontal="left" shrinkToFit="0" vertical="top" wrapText="1"/>
    </xf>
    <xf borderId="0" fillId="0" fontId="9" numFmtId="0" xfId="0" applyAlignment="1" applyFont="1">
      <alignment readingOrder="0"/>
    </xf>
    <xf borderId="11" fillId="0" fontId="1" numFmtId="0" xfId="0" applyAlignment="1" applyBorder="1" applyFont="1">
      <alignment horizontal="center" readingOrder="0" vertical="top"/>
    </xf>
    <xf borderId="11" fillId="0" fontId="1" numFmtId="164" xfId="0" applyAlignment="1" applyBorder="1" applyFont="1" applyNumberFormat="1">
      <alignment horizontal="center" readingOrder="0" shrinkToFit="0" vertical="top" wrapText="1"/>
    </xf>
    <xf borderId="11" fillId="0" fontId="1" numFmtId="165" xfId="0" applyAlignment="1" applyBorder="1" applyFont="1" applyNumberFormat="1">
      <alignment horizontal="center" readingOrder="0" shrinkToFit="0" vertical="top" wrapText="1"/>
    </xf>
    <xf borderId="12" fillId="0" fontId="1" numFmtId="165" xfId="0" applyAlignment="1" applyBorder="1" applyFont="1" applyNumberFormat="1">
      <alignment horizontal="right" shrinkToFit="0" vertical="top" wrapText="1"/>
    </xf>
    <xf borderId="0" fillId="2" fontId="8" numFmtId="49" xfId="0" applyAlignment="1" applyFont="1" applyNumberFormat="1">
      <alignment horizontal="left" readingOrder="0" shrinkToFit="0" vertical="top" wrapText="1"/>
    </xf>
    <xf borderId="11" fillId="2" fontId="1" numFmtId="0" xfId="0" applyAlignment="1" applyBorder="1" applyFont="1">
      <alignment horizontal="center" shrinkToFit="0" vertical="top" wrapText="1"/>
    </xf>
    <xf borderId="13" fillId="0" fontId="7" numFmtId="49" xfId="0" applyAlignment="1" applyBorder="1" applyFont="1" applyNumberFormat="1">
      <alignment horizontal="left" readingOrder="0" shrinkToFit="0" vertical="top" wrapText="1"/>
    </xf>
    <xf borderId="14" fillId="2" fontId="8" numFmtId="49" xfId="0" applyAlignment="1" applyBorder="1" applyFont="1" applyNumberFormat="1">
      <alignment horizontal="left" readingOrder="0" shrinkToFit="0" vertical="top" wrapText="1"/>
    </xf>
    <xf borderId="0" fillId="0" fontId="9" numFmtId="0" xfId="0" applyAlignment="1" applyFont="1">
      <alignment horizontal="left" readingOrder="0" shrinkToFit="0" wrapText="1"/>
    </xf>
    <xf borderId="0" fillId="0" fontId="10" numFmtId="164" xfId="0" applyAlignment="1" applyFont="1" applyNumberFormat="1">
      <alignment horizontal="center" readingOrder="0"/>
    </xf>
    <xf borderId="12" fillId="0" fontId="1" numFmtId="165" xfId="0" applyAlignment="1" applyBorder="1" applyFont="1" applyNumberFormat="1">
      <alignment horizontal="right" readingOrder="0" shrinkToFit="0" vertical="top" wrapText="1"/>
    </xf>
    <xf borderId="14" fillId="3" fontId="8" numFmtId="49" xfId="0" applyAlignment="1" applyBorder="1" applyFill="1" applyFont="1" applyNumberFormat="1">
      <alignment horizontal="left" shrinkToFit="0" vertical="top" wrapText="1"/>
    </xf>
    <xf borderId="15" fillId="3" fontId="8" numFmtId="0" xfId="0" applyAlignment="1" applyBorder="1" applyFont="1">
      <alignment horizontal="left" readingOrder="0" shrinkToFit="0" vertical="top" wrapText="1"/>
    </xf>
    <xf borderId="16" fillId="0" fontId="9" numFmtId="49" xfId="0" applyAlignment="1" applyBorder="1" applyFont="1" applyNumberFormat="1">
      <alignment horizontal="left" readingOrder="0" shrinkToFit="0" vertical="top" wrapText="1"/>
    </xf>
    <xf borderId="14" fillId="3" fontId="8" numFmtId="49" xfId="0" applyAlignment="1" applyBorder="1" applyFont="1" applyNumberFormat="1">
      <alignment horizontal="left" readingOrder="0" shrinkToFit="0" vertical="top" wrapText="1"/>
    </xf>
    <xf borderId="0" fillId="0" fontId="9" numFmtId="0" xfId="0" applyAlignment="1" applyFont="1">
      <alignment readingOrder="0" shrinkToFit="0" wrapText="1"/>
    </xf>
    <xf borderId="14" fillId="0" fontId="7" numFmtId="49" xfId="0" applyAlignment="1" applyBorder="1" applyFont="1" applyNumberFormat="1">
      <alignment horizontal="left" readingOrder="0" shrinkToFit="0" vertical="top" wrapText="1"/>
    </xf>
    <xf borderId="0" fillId="0" fontId="9" numFmtId="49" xfId="0" applyAlignment="1" applyFont="1" applyNumberFormat="1">
      <alignment horizontal="left" readingOrder="0" shrinkToFit="0" vertical="top" wrapText="1"/>
    </xf>
    <xf borderId="17" fillId="0" fontId="1" numFmtId="0" xfId="0" applyAlignment="1" applyBorder="1" applyFont="1">
      <alignment horizontal="center" readingOrder="0" vertical="top"/>
    </xf>
    <xf borderId="18" fillId="0" fontId="1" numFmtId="164" xfId="0" applyAlignment="1" applyBorder="1" applyFont="1" applyNumberFormat="1">
      <alignment horizontal="center" readingOrder="0" shrinkToFit="0" vertical="top" wrapText="1"/>
    </xf>
    <xf borderId="16" fillId="0" fontId="1" numFmtId="165" xfId="0" applyAlignment="1" applyBorder="1" applyFont="1" applyNumberFormat="1">
      <alignment horizontal="center" readingOrder="0" shrinkToFit="0" vertical="top" wrapText="1"/>
    </xf>
    <xf borderId="13" fillId="0" fontId="1" numFmtId="49" xfId="0" applyAlignment="1" applyBorder="1" applyFont="1" applyNumberFormat="1">
      <alignment horizontal="left" shrinkToFit="0" vertical="top" wrapText="1"/>
    </xf>
    <xf borderId="16" fillId="0" fontId="11" numFmtId="49" xfId="0" applyAlignment="1" applyBorder="1" applyFont="1" applyNumberFormat="1">
      <alignment horizontal="left" readingOrder="0" shrinkToFit="0" vertical="top" wrapText="1"/>
    </xf>
    <xf borderId="0" fillId="2" fontId="1" numFmtId="49" xfId="0" applyAlignment="1" applyFont="1" applyNumberFormat="1">
      <alignment horizontal="left" shrinkToFit="0" vertical="top" wrapText="1"/>
    </xf>
    <xf borderId="0" fillId="4" fontId="12" numFmtId="49" xfId="0" applyAlignment="1" applyFill="1" applyFont="1" applyNumberFormat="1">
      <alignment horizontal="left" readingOrder="0" shrinkToFit="0" vertical="top" wrapText="1"/>
    </xf>
    <xf borderId="0" fillId="4" fontId="1" numFmtId="0" xfId="0" applyAlignment="1" applyFont="1">
      <alignment horizontal="center" readingOrder="0" vertical="top"/>
    </xf>
    <xf borderId="0" fillId="4" fontId="1" numFmtId="164" xfId="0" applyAlignment="1" applyFont="1" applyNumberFormat="1">
      <alignment horizontal="center" readingOrder="0" shrinkToFit="0" vertical="top" wrapText="1"/>
    </xf>
    <xf borderId="0" fillId="4" fontId="1" numFmtId="165" xfId="0" applyAlignment="1" applyFont="1" applyNumberFormat="1">
      <alignment horizontal="center" readingOrder="0" shrinkToFit="0" vertical="top" wrapText="1"/>
    </xf>
    <xf borderId="12" fillId="4" fontId="1" numFmtId="165" xfId="0" applyAlignment="1" applyBorder="1" applyFont="1" applyNumberFormat="1">
      <alignment horizontal="right" shrinkToFit="0" vertical="top" wrapText="1"/>
    </xf>
    <xf borderId="0" fillId="0" fontId="11" numFmtId="49" xfId="0" applyAlignment="1" applyFont="1" applyNumberFormat="1">
      <alignment horizontal="left" readingOrder="0" shrinkToFit="0" vertical="top" wrapText="1"/>
    </xf>
    <xf borderId="18" fillId="0" fontId="1" numFmtId="0" xfId="0" applyAlignment="1" applyBorder="1" applyFont="1">
      <alignment horizontal="center" readingOrder="0" vertical="top"/>
    </xf>
    <xf borderId="0" fillId="0" fontId="1" numFmtId="165" xfId="0" applyAlignment="1" applyFont="1" applyNumberFormat="1">
      <alignment horizontal="center" readingOrder="0" shrinkToFit="0" vertical="top" wrapText="1"/>
    </xf>
    <xf borderId="0" fillId="4" fontId="1" numFmtId="49" xfId="0" applyAlignment="1" applyFont="1" applyNumberFormat="1">
      <alignment horizontal="left" shrinkToFit="0" vertical="top" wrapText="1"/>
    </xf>
    <xf borderId="18" fillId="4" fontId="1" numFmtId="0" xfId="0" applyAlignment="1" applyBorder="1" applyFont="1">
      <alignment horizontal="center" readingOrder="0" vertical="top"/>
    </xf>
    <xf borderId="18" fillId="4" fontId="1" numFmtId="164" xfId="0" applyAlignment="1" applyBorder="1" applyFont="1" applyNumberFormat="1">
      <alignment horizontal="center" readingOrder="0" shrinkToFit="0" vertical="top" wrapText="1"/>
    </xf>
    <xf borderId="18" fillId="4" fontId="1" numFmtId="165" xfId="0" applyAlignment="1" applyBorder="1" applyFont="1" applyNumberFormat="1">
      <alignment horizontal="center" readingOrder="0" shrinkToFit="0" vertical="top" wrapText="1"/>
    </xf>
    <xf borderId="19" fillId="4" fontId="1" numFmtId="165" xfId="0" applyAlignment="1" applyBorder="1" applyFont="1" applyNumberFormat="1">
      <alignment horizontal="right" readingOrder="0" shrinkToFit="0" vertical="top" wrapText="1"/>
    </xf>
    <xf borderId="0" fillId="0" fontId="6" numFmtId="0" xfId="0" applyAlignment="1" applyFont="1">
      <alignment readingOrder="0"/>
    </xf>
    <xf borderId="20" fillId="0" fontId="1" numFmtId="49" xfId="0" applyAlignment="1" applyBorder="1" applyFont="1" applyNumberFormat="1">
      <alignment horizontal="left" shrinkToFit="0" vertical="top" wrapText="1"/>
    </xf>
    <xf borderId="20" fillId="0" fontId="1" numFmtId="0" xfId="0" applyAlignment="1" applyBorder="1" applyFont="1">
      <alignment horizontal="left" shrinkToFit="0" vertical="top" wrapText="1"/>
    </xf>
    <xf borderId="20" fillId="0" fontId="1" numFmtId="0" xfId="0" applyAlignment="1" applyBorder="1" applyFont="1">
      <alignment horizontal="center" shrinkToFit="0" vertical="top" wrapText="1"/>
    </xf>
    <xf borderId="20" fillId="0" fontId="1" numFmtId="164" xfId="0" applyAlignment="1" applyBorder="1" applyFont="1" applyNumberFormat="1">
      <alignment horizontal="center" shrinkToFit="0" vertical="top" wrapText="1"/>
    </xf>
    <xf borderId="20" fillId="0" fontId="1" numFmtId="165" xfId="0" applyAlignment="1" applyBorder="1" applyFont="1" applyNumberFormat="1">
      <alignment horizontal="center" shrinkToFit="0" vertical="top" wrapText="1"/>
    </xf>
    <xf borderId="20" fillId="0" fontId="1" numFmtId="165" xfId="0" applyAlignment="1" applyBorder="1" applyFont="1" applyNumberFormat="1">
      <alignment horizontal="left" shrinkToFit="0" vertical="top" wrapText="1"/>
    </xf>
    <xf borderId="0" fillId="0" fontId="6" numFmtId="49" xfId="0" applyFont="1" applyNumberFormat="1"/>
    <xf borderId="0" fillId="0" fontId="3" numFmtId="0" xfId="0" applyAlignment="1" applyFont="1">
      <alignment horizontal="left" readingOrder="0" shrinkToFit="0" vertical="top" wrapText="1"/>
    </xf>
    <xf borderId="0" fillId="0" fontId="6" numFmtId="0" xfId="0" applyAlignment="1" applyFont="1">
      <alignment horizontal="center"/>
    </xf>
    <xf borderId="0" fillId="0" fontId="6" numFmtId="164" xfId="0" applyAlignment="1" applyFont="1" applyNumberFormat="1">
      <alignment horizontal="center"/>
    </xf>
    <xf borderId="0" fillId="0" fontId="6" numFmtId="165" xfId="0" applyAlignment="1" applyFont="1" applyNumberFormat="1">
      <alignment horizontal="center"/>
    </xf>
    <xf borderId="0" fillId="0" fontId="3" numFmtId="165" xfId="0" applyAlignment="1" applyFont="1" applyNumberFormat="1">
      <alignment horizontal="right" shrinkToFit="0" vertical="top" wrapText="1"/>
    </xf>
    <xf borderId="0" fillId="0" fontId="3" numFmtId="0" xfId="0" applyAlignment="1" applyFont="1">
      <alignment horizontal="left" shrinkToFit="0" vertical="top" wrapText="1"/>
    </xf>
    <xf borderId="0" fillId="0" fontId="3" numFmtId="10" xfId="0" applyAlignment="1" applyFont="1" applyNumberFormat="1">
      <alignment horizontal="right" readingOrder="0" shrinkToFit="0" vertical="top" wrapText="1"/>
    </xf>
    <xf borderId="0" fillId="0" fontId="13" numFmtId="0" xfId="0" applyFont="1"/>
    <xf borderId="0" fillId="0" fontId="14" numFmtId="0" xfId="0" applyAlignment="1" applyFont="1">
      <alignment horizontal="center"/>
    </xf>
    <xf borderId="0" fillId="0" fontId="6" numFmtId="165" xfId="0" applyFont="1" applyNumberFormat="1"/>
    <xf borderId="0" fillId="0" fontId="14" numFmtId="166" xfId="0" applyAlignment="1" applyFont="1" applyNumberFormat="1">
      <alignment horizontal="center"/>
    </xf>
    <xf borderId="0" fillId="0" fontId="15" numFmtId="164" xfId="0" applyAlignment="1" applyFont="1" applyNumberFormat="1">
      <alignment horizontal="center"/>
    </xf>
    <xf borderId="4" fillId="0" fontId="3" numFmtId="165" xfId="0" applyAlignment="1" applyBorder="1" applyFont="1" applyNumberFormat="1">
      <alignment horizontal="center" shrinkToFit="0" vertical="top" wrapText="1"/>
    </xf>
    <xf borderId="4" fillId="0" fontId="3" numFmtId="0" xfId="0" applyAlignment="1" applyBorder="1" applyFont="1">
      <alignment horizontal="right" shrinkToFit="0" vertical="top" wrapText="1"/>
    </xf>
    <xf borderId="7" fillId="0" fontId="1" numFmtId="0" xfId="0" applyAlignment="1" applyBorder="1" applyFont="1">
      <alignment horizontal="left" shrinkToFit="0" vertical="top" wrapText="1"/>
    </xf>
    <xf borderId="8" fillId="0" fontId="1" numFmtId="0" xfId="0" applyAlignment="1" applyBorder="1" applyFont="1">
      <alignment horizontal="left" shrinkToFit="0" vertical="top" wrapText="1"/>
    </xf>
    <xf borderId="11" fillId="0" fontId="1" numFmtId="0" xfId="0" applyAlignment="1" applyBorder="1" applyFont="1">
      <alignment horizontal="left" shrinkToFit="0" vertical="top" wrapText="1"/>
    </xf>
    <xf borderId="12" fillId="0" fontId="1" numFmtId="0" xfId="0" applyAlignment="1" applyBorder="1" applyFont="1">
      <alignment horizontal="left" shrinkToFit="0" vertical="top" wrapText="1"/>
    </xf>
    <xf borderId="11" fillId="2" fontId="1" numFmtId="167" xfId="0" applyAlignment="1" applyBorder="1" applyFont="1" applyNumberFormat="1">
      <alignment horizontal="center" shrinkToFit="0" vertical="top" wrapText="1"/>
    </xf>
    <xf borderId="12" fillId="2" fontId="1" numFmtId="164" xfId="0" applyAlignment="1" applyBorder="1" applyFont="1" applyNumberFormat="1">
      <alignment horizontal="right" shrinkToFit="0" vertical="top" wrapText="1"/>
    </xf>
    <xf borderId="11" fillId="0" fontId="1" numFmtId="167" xfId="0" applyAlignment="1" applyBorder="1" applyFont="1" applyNumberFormat="1">
      <alignment horizontal="center" readingOrder="0" shrinkToFit="0" vertical="top" wrapText="1"/>
    </xf>
    <xf borderId="11" fillId="2" fontId="1" numFmtId="0" xfId="0" applyAlignment="1" applyBorder="1" applyFont="1">
      <alignment horizontal="left" shrinkToFit="0" vertical="top" wrapText="1"/>
    </xf>
    <xf borderId="0" fillId="0" fontId="16" numFmtId="168" xfId="0" applyAlignment="1" applyFont="1" applyNumberFormat="1">
      <alignment horizontal="center" readingOrder="0"/>
    </xf>
    <xf borderId="11" fillId="0" fontId="1" numFmtId="169" xfId="0" applyAlignment="1" applyBorder="1" applyFont="1" applyNumberFormat="1">
      <alignment horizontal="center" readingOrder="0" shrinkToFit="0" vertical="top" wrapText="1"/>
    </xf>
    <xf borderId="13" fillId="2" fontId="1" numFmtId="49" xfId="0" applyAlignment="1" applyBorder="1" applyFont="1" applyNumberFormat="1">
      <alignment horizontal="left" shrinkToFit="0" vertical="top" wrapText="1"/>
    </xf>
    <xf borderId="16" fillId="2" fontId="12" numFmtId="49" xfId="0" applyAlignment="1" applyBorder="1" applyFont="1" applyNumberFormat="1">
      <alignment horizontal="left" readingOrder="0" shrinkToFit="0" vertical="top" wrapText="1"/>
    </xf>
    <xf borderId="11" fillId="2" fontId="1" numFmtId="0" xfId="0" applyAlignment="1" applyBorder="1" applyFont="1">
      <alignment horizontal="center" readingOrder="0" vertical="top"/>
    </xf>
    <xf borderId="0" fillId="0" fontId="1" numFmtId="0" xfId="0" applyAlignment="1" applyFont="1">
      <alignment horizontal="left" readingOrder="0" shrinkToFit="0" vertical="top" wrapText="1"/>
    </xf>
    <xf borderId="21" fillId="0" fontId="1" numFmtId="0" xfId="0" applyAlignment="1" applyBorder="1" applyFont="1">
      <alignment horizontal="center" readingOrder="0" shrinkToFit="0" vertical="top" wrapText="1"/>
    </xf>
    <xf borderId="18" fillId="0" fontId="1" numFmtId="0" xfId="0" applyAlignment="1" applyBorder="1" applyFont="1">
      <alignment horizontal="center" readingOrder="0" shrinkToFit="0" vertical="top" wrapText="1"/>
    </xf>
    <xf borderId="22" fillId="2" fontId="1" numFmtId="49" xfId="0" applyAlignment="1" applyBorder="1" applyFont="1" applyNumberFormat="1">
      <alignment horizontal="left" shrinkToFit="0" vertical="top" wrapText="1"/>
    </xf>
    <xf borderId="22" fillId="2" fontId="3" numFmtId="0" xfId="0" applyAlignment="1" applyBorder="1" applyFont="1">
      <alignment horizontal="left" readingOrder="0" shrinkToFit="0" vertical="top" wrapText="1"/>
    </xf>
    <xf borderId="23" fillId="2" fontId="1" numFmtId="0" xfId="0" applyAlignment="1" applyBorder="1" applyFont="1">
      <alignment horizontal="center" readingOrder="0" shrinkToFit="0" vertical="top" wrapText="1"/>
    </xf>
    <xf borderId="22" fillId="2" fontId="1" numFmtId="0" xfId="0" applyAlignment="1" applyBorder="1" applyFont="1">
      <alignment horizontal="center" readingOrder="0" shrinkToFit="0" vertical="top" wrapText="1"/>
    </xf>
    <xf borderId="23" fillId="2" fontId="1" numFmtId="165" xfId="0" applyAlignment="1" applyBorder="1" applyFont="1" applyNumberFormat="1">
      <alignment horizontal="center" readingOrder="0" shrinkToFit="0" vertical="top" wrapText="1"/>
    </xf>
    <xf borderId="24" fillId="2" fontId="1" numFmtId="165" xfId="0" applyAlignment="1" applyBorder="1" applyFont="1" applyNumberFormat="1">
      <alignment horizontal="right" readingOrder="0" shrinkToFit="0" vertical="top" wrapText="1"/>
    </xf>
    <xf borderId="0" fillId="0" fontId="1" numFmtId="0" xfId="0" applyAlignment="1" applyFont="1">
      <alignment horizontal="center" readingOrder="0" shrinkToFit="0" vertical="top" wrapText="1"/>
    </xf>
    <xf borderId="0" fillId="0" fontId="1" numFmtId="165" xfId="0" applyAlignment="1" applyFont="1" applyNumberFormat="1">
      <alignment horizontal="right" shrinkToFit="0" vertical="top" wrapText="1"/>
    </xf>
    <xf borderId="0" fillId="0" fontId="1" numFmtId="0" xfId="0" applyAlignment="1" applyFont="1">
      <alignment horizontal="left" shrinkToFit="0" vertical="top" wrapText="1"/>
    </xf>
    <xf borderId="0" fillId="0" fontId="1" numFmtId="0" xfId="0" applyAlignment="1" applyFont="1">
      <alignment horizontal="center" shrinkToFit="0" vertical="top" wrapText="1"/>
    </xf>
    <xf borderId="0" fillId="0" fontId="1" numFmtId="165" xfId="0" applyAlignment="1" applyFont="1" applyNumberFormat="1">
      <alignment horizontal="center" shrinkToFit="0" vertical="top" wrapText="1"/>
    </xf>
    <xf borderId="0" fillId="0" fontId="3" numFmtId="164" xfId="0" applyAlignment="1" applyFont="1" applyNumberFormat="1">
      <alignment horizontal="right" shrinkToFit="0" vertical="top" wrapText="1"/>
    </xf>
    <xf borderId="0" fillId="0" fontId="15"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0</xdr:row>
      <xdr:rowOff>0</xdr:rowOff>
    </xdr:from>
    <xdr:ext cx="5991225" cy="990600"/>
    <xdr:sp>
      <xdr:nvSpPr>
        <xdr:cNvPr id="3" name="Shape 3"/>
        <xdr:cNvSpPr/>
      </xdr:nvSpPr>
      <xdr:spPr>
        <a:xfrm>
          <a:off x="2359925" y="3335955"/>
          <a:ext cx="5972100" cy="696600"/>
        </a:xfrm>
        <a:prstGeom prst="roundRect">
          <a:avLst>
            <a:gd fmla="val 6670" name="adj"/>
          </a:avLst>
        </a:prstGeom>
        <a:gradFill>
          <a:gsLst>
            <a:gs pos="0">
              <a:srgbClr val="FFFFFF"/>
            </a:gs>
            <a:gs pos="100000">
              <a:srgbClr val="B3B3B3"/>
            </a:gs>
          </a:gsLst>
          <a:lin ang="5400012" scaled="0"/>
        </a:gradFill>
        <a:ln cap="flat" cmpd="sng" w="12700">
          <a:solidFill>
            <a:srgbClr val="00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t/>
          </a:r>
          <a:endParaRPr i="1" sz="1600">
            <a:latin typeface="Calibri"/>
            <a:ea typeface="Calibri"/>
            <a:cs typeface="Calibri"/>
            <a:sym typeface="Calibri"/>
          </a:endParaRPr>
        </a:p>
        <a:p>
          <a:pPr indent="0" lvl="0" marL="0" rtl="0" algn="ctr">
            <a:spcBef>
              <a:spcPts val="0"/>
            </a:spcBef>
            <a:spcAft>
              <a:spcPts val="0"/>
            </a:spcAft>
            <a:buNone/>
          </a:pPr>
          <a:r>
            <a:rPr b="0" i="1" lang="en-US" sz="1600">
              <a:solidFill>
                <a:srgbClr val="000000"/>
              </a:solidFill>
              <a:latin typeface="Calibri"/>
              <a:ea typeface="Calibri"/>
              <a:cs typeface="Calibri"/>
              <a:sym typeface="Calibri"/>
            </a:rPr>
            <a:t>D.P.G.F</a:t>
          </a:r>
          <a:endParaRPr sz="1400"/>
        </a:p>
        <a:p>
          <a:pPr indent="0" lvl="0" marL="0" rtl="0" algn="ctr">
            <a:spcBef>
              <a:spcPts val="0"/>
            </a:spcBef>
            <a:spcAft>
              <a:spcPts val="0"/>
            </a:spcAft>
            <a:buNone/>
          </a:pPr>
          <a:r>
            <a:rPr i="1" lang="en-US" sz="1600">
              <a:latin typeface="Calibri"/>
              <a:ea typeface="Calibri"/>
              <a:cs typeface="Calibri"/>
              <a:sym typeface="Calibri"/>
            </a:rPr>
            <a:t>LOT N°03 - REVETEMENTS DE SOLS DURS (LIBRES)</a:t>
          </a:r>
          <a:endParaRPr i="1" sz="1600">
            <a:latin typeface="Calibri"/>
            <a:ea typeface="Calibri"/>
            <a:cs typeface="Calibri"/>
            <a:sym typeface="Calibri"/>
          </a:endParaRPr>
        </a:p>
        <a:p>
          <a:pPr indent="0" lvl="0" marL="0" rtl="0" algn="l">
            <a:spcBef>
              <a:spcPts val="0"/>
            </a:spcBef>
            <a:spcAft>
              <a:spcPts val="0"/>
            </a:spcAft>
            <a:buNone/>
          </a:pPr>
          <a:r>
            <a:t/>
          </a:r>
          <a:endParaRPr i="1" sz="1600">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0</xdr:row>
      <xdr:rowOff>0</xdr:rowOff>
    </xdr:from>
    <xdr:ext cx="5991225" cy="990600"/>
    <xdr:sp>
      <xdr:nvSpPr>
        <xdr:cNvPr id="3" name="Shape 3"/>
        <xdr:cNvSpPr/>
      </xdr:nvSpPr>
      <xdr:spPr>
        <a:xfrm>
          <a:off x="2359925" y="3335955"/>
          <a:ext cx="5972100" cy="696600"/>
        </a:xfrm>
        <a:prstGeom prst="roundRect">
          <a:avLst>
            <a:gd fmla="val 6670" name="adj"/>
          </a:avLst>
        </a:prstGeom>
        <a:gradFill>
          <a:gsLst>
            <a:gs pos="0">
              <a:srgbClr val="FFFFFF"/>
            </a:gs>
            <a:gs pos="100000">
              <a:srgbClr val="B3B3B3"/>
            </a:gs>
          </a:gsLst>
          <a:lin ang="5400012" scaled="0"/>
        </a:gradFill>
        <a:ln cap="flat" cmpd="sng" w="12700">
          <a:solidFill>
            <a:srgbClr val="000000"/>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t/>
          </a:r>
          <a:endParaRPr i="1" sz="1600">
            <a:latin typeface="Calibri"/>
            <a:ea typeface="Calibri"/>
            <a:cs typeface="Calibri"/>
            <a:sym typeface="Calibri"/>
          </a:endParaRPr>
        </a:p>
        <a:p>
          <a:pPr indent="0" lvl="0" marL="0" rtl="0" algn="ctr">
            <a:spcBef>
              <a:spcPts val="0"/>
            </a:spcBef>
            <a:spcAft>
              <a:spcPts val="0"/>
            </a:spcAft>
            <a:buNone/>
          </a:pPr>
          <a:r>
            <a:rPr b="0" i="1" lang="en-US" sz="1600">
              <a:solidFill>
                <a:srgbClr val="000000"/>
              </a:solidFill>
              <a:latin typeface="Calibri"/>
              <a:ea typeface="Calibri"/>
              <a:cs typeface="Calibri"/>
              <a:sym typeface="Calibri"/>
            </a:rPr>
            <a:t>D.P.G.F</a:t>
          </a:r>
          <a:endParaRPr sz="1400"/>
        </a:p>
        <a:p>
          <a:pPr indent="0" lvl="0" marL="0" rtl="0" algn="ctr">
            <a:spcBef>
              <a:spcPts val="0"/>
            </a:spcBef>
            <a:spcAft>
              <a:spcPts val="0"/>
            </a:spcAft>
            <a:buNone/>
          </a:pPr>
          <a:r>
            <a:rPr i="1" lang="en-US" sz="1600">
              <a:latin typeface="Calibri"/>
              <a:ea typeface="Calibri"/>
              <a:cs typeface="Calibri"/>
              <a:sym typeface="Calibri"/>
            </a:rPr>
            <a:t>LOT N°03 - REVETEMENTS DE SOLS DURS (SOCIAUX &amp; ABORDABLES)</a:t>
          </a:r>
          <a:endParaRPr i="1" sz="1600">
            <a:latin typeface="Calibri"/>
            <a:ea typeface="Calibri"/>
            <a:cs typeface="Calibri"/>
            <a:sym typeface="Calibri"/>
          </a:endParaRPr>
        </a:p>
        <a:p>
          <a:pPr indent="0" lvl="0" marL="0" rtl="0" algn="l">
            <a:spcBef>
              <a:spcPts val="0"/>
            </a:spcBef>
            <a:spcAft>
              <a:spcPts val="0"/>
            </a:spcAft>
            <a:buNone/>
          </a:pPr>
          <a:r>
            <a:t/>
          </a:r>
          <a:endParaRPr i="1" sz="1600">
            <a:latin typeface="Calibri"/>
            <a:ea typeface="Calibri"/>
            <a:cs typeface="Calibri"/>
            <a:sym typeface="Calibri"/>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9.71"/>
    <col customWidth="1" min="2" max="2" width="68.86"/>
    <col customWidth="1" min="3" max="3" width="7.71"/>
    <col customWidth="1" min="4" max="4" width="13.0"/>
    <col customWidth="1" min="5" max="5" width="10.71"/>
    <col customWidth="1" min="6" max="6" width="12.71"/>
    <col customWidth="1" min="7" max="701" width="10.71"/>
  </cols>
  <sheetData>
    <row r="1" ht="82.5" customHeight="1">
      <c r="A1" s="1"/>
      <c r="B1" s="2"/>
      <c r="C1" s="2"/>
      <c r="D1" s="2"/>
      <c r="E1" s="2"/>
      <c r="F1" s="3"/>
    </row>
    <row r="2">
      <c r="A2" s="1"/>
      <c r="B2" s="4" t="s">
        <v>0</v>
      </c>
      <c r="C2" s="5" t="s">
        <v>1</v>
      </c>
      <c r="D2" s="6" t="s">
        <v>2</v>
      </c>
      <c r="E2" s="7" t="s">
        <v>3</v>
      </c>
      <c r="F2" s="8" t="s">
        <v>4</v>
      </c>
    </row>
    <row r="3">
      <c r="A3" s="9"/>
      <c r="B3" s="10"/>
      <c r="C3" s="11"/>
      <c r="D3" s="12"/>
      <c r="E3" s="13"/>
      <c r="F3" s="14"/>
    </row>
    <row r="4">
      <c r="A4" s="15"/>
      <c r="B4" s="16" t="s">
        <v>5</v>
      </c>
      <c r="C4" s="17"/>
      <c r="D4" s="18"/>
      <c r="E4" s="19"/>
      <c r="F4" s="20"/>
      <c r="ZX4" s="21" t="s">
        <v>6</v>
      </c>
      <c r="ZY4" s="22"/>
    </row>
    <row r="5">
      <c r="A5" s="23"/>
      <c r="B5" s="24" t="s">
        <v>7</v>
      </c>
      <c r="C5" s="25"/>
      <c r="D5" s="26"/>
      <c r="E5" s="27"/>
      <c r="F5" s="28"/>
      <c r="ZY5" s="22"/>
    </row>
    <row r="6">
      <c r="A6" s="29"/>
      <c r="B6" s="30" t="s">
        <v>8</v>
      </c>
      <c r="C6" s="31" t="s">
        <v>9</v>
      </c>
      <c r="D6" s="32">
        <v>2261.4</v>
      </c>
      <c r="E6" s="33">
        <v>30.0</v>
      </c>
      <c r="F6" s="34">
        <f>ROUND(D6*E6,2)</f>
        <v>67842</v>
      </c>
      <c r="ZY6" s="22"/>
    </row>
    <row r="7">
      <c r="A7" s="35"/>
      <c r="B7" s="24" t="s">
        <v>10</v>
      </c>
      <c r="C7" s="36"/>
      <c r="D7" s="26"/>
      <c r="E7" s="27"/>
      <c r="F7" s="28"/>
      <c r="ZX7" s="21" t="s">
        <v>11</v>
      </c>
      <c r="ZY7" s="22"/>
    </row>
    <row r="8">
      <c r="A8" s="37"/>
      <c r="B8" s="30" t="s">
        <v>12</v>
      </c>
      <c r="C8" s="31" t="s">
        <v>9</v>
      </c>
      <c r="D8" s="32">
        <v>2261.4</v>
      </c>
      <c r="E8" s="33">
        <v>130.0</v>
      </c>
      <c r="F8" s="34">
        <f>ROUND(D8*E8,2)</f>
        <v>293982</v>
      </c>
      <c r="ZY8" s="22"/>
    </row>
    <row r="9">
      <c r="A9" s="38"/>
      <c r="B9" s="24" t="s">
        <v>13</v>
      </c>
      <c r="C9" s="36"/>
      <c r="D9" s="26"/>
      <c r="E9" s="27"/>
      <c r="F9" s="28"/>
      <c r="ZX9" s="21" t="s">
        <v>11</v>
      </c>
      <c r="ZY9" s="22"/>
    </row>
    <row r="10">
      <c r="A10" s="37"/>
      <c r="B10" s="39" t="s">
        <v>14</v>
      </c>
      <c r="C10" s="31" t="s">
        <v>9</v>
      </c>
      <c r="D10" s="32">
        <v>2261.4</v>
      </c>
      <c r="E10" s="33">
        <v>60.0</v>
      </c>
      <c r="F10" s="34">
        <f>ROUND(D10*E10,2)</f>
        <v>135684</v>
      </c>
      <c r="ZX10" s="21" t="s">
        <v>15</v>
      </c>
      <c r="ZY10" s="22" t="s">
        <v>16</v>
      </c>
    </row>
    <row r="11">
      <c r="A11" s="37"/>
      <c r="B11" s="30" t="s">
        <v>17</v>
      </c>
      <c r="C11" s="31" t="s">
        <v>9</v>
      </c>
      <c r="D11" s="40">
        <v>2261.4</v>
      </c>
      <c r="E11" s="33">
        <f>F11/D11</f>
        <v>0.5881312461</v>
      </c>
      <c r="F11" s="41">
        <v>1330.0</v>
      </c>
      <c r="ZX11" s="21" t="s">
        <v>15</v>
      </c>
      <c r="ZY11" s="22" t="s">
        <v>18</v>
      </c>
    </row>
    <row r="12">
      <c r="A12" s="37"/>
      <c r="B12" s="30" t="s">
        <v>19</v>
      </c>
      <c r="C12" s="31" t="s">
        <v>20</v>
      </c>
      <c r="D12" s="32">
        <v>1200.0</v>
      </c>
      <c r="E12" s="33">
        <v>12.0</v>
      </c>
      <c r="F12" s="34">
        <f>ROUND(D12*E12,2)</f>
        <v>14400</v>
      </c>
      <c r="ZX12" s="21" t="s">
        <v>15</v>
      </c>
      <c r="ZY12" s="22" t="s">
        <v>21</v>
      </c>
    </row>
    <row r="13">
      <c r="A13" s="42"/>
      <c r="B13" s="43" t="s">
        <v>22</v>
      </c>
      <c r="C13" s="36"/>
      <c r="D13" s="26"/>
      <c r="E13" s="27"/>
      <c r="F13" s="28"/>
      <c r="ZX13" s="21" t="s">
        <v>11</v>
      </c>
      <c r="ZY13" s="22"/>
    </row>
    <row r="14">
      <c r="A14" s="29"/>
      <c r="B14" s="44" t="s">
        <v>23</v>
      </c>
      <c r="C14" s="31" t="s">
        <v>9</v>
      </c>
      <c r="D14" s="32">
        <v>416.16</v>
      </c>
      <c r="E14" s="33">
        <v>70.0</v>
      </c>
      <c r="F14" s="34">
        <f t="shared" ref="F14:F16" si="1">ROUND(D14*E14,2)</f>
        <v>29131.2</v>
      </c>
      <c r="ZX14" s="21" t="s">
        <v>15</v>
      </c>
      <c r="ZY14" s="22" t="s">
        <v>24</v>
      </c>
    </row>
    <row r="15">
      <c r="A15" s="29"/>
      <c r="B15" s="44" t="s">
        <v>25</v>
      </c>
      <c r="C15" s="31" t="s">
        <v>9</v>
      </c>
      <c r="D15" s="32">
        <v>416.16</v>
      </c>
      <c r="E15" s="33">
        <v>25.0</v>
      </c>
      <c r="F15" s="34">
        <f t="shared" si="1"/>
        <v>10404</v>
      </c>
      <c r="ZY15" s="22"/>
    </row>
    <row r="16">
      <c r="A16" s="29"/>
      <c r="B16" s="44" t="s">
        <v>26</v>
      </c>
      <c r="C16" s="31" t="s">
        <v>20</v>
      </c>
      <c r="D16" s="32">
        <v>300.0</v>
      </c>
      <c r="E16" s="33">
        <v>8.0</v>
      </c>
      <c r="F16" s="34">
        <f t="shared" si="1"/>
        <v>2400</v>
      </c>
      <c r="ZX16" s="21" t="s">
        <v>15</v>
      </c>
      <c r="ZY16" s="22" t="s">
        <v>27</v>
      </c>
    </row>
    <row r="17" ht="15.75" customHeight="1">
      <c r="A17" s="45"/>
      <c r="B17" s="24" t="s">
        <v>28</v>
      </c>
      <c r="C17" s="36"/>
      <c r="D17" s="26"/>
      <c r="E17" s="27"/>
      <c r="F17" s="28"/>
      <c r="ZX17" s="21" t="s">
        <v>11</v>
      </c>
      <c r="ZY17" s="22"/>
    </row>
    <row r="18" ht="26.25" customHeight="1">
      <c r="A18" s="37"/>
      <c r="B18" s="46" t="s">
        <v>29</v>
      </c>
      <c r="C18" s="31" t="s">
        <v>9</v>
      </c>
      <c r="D18" s="32">
        <v>755.7</v>
      </c>
      <c r="E18" s="33">
        <v>70.0</v>
      </c>
      <c r="F18" s="34">
        <f t="shared" ref="F18:F19" si="2">ROUND(D18*E18,2)</f>
        <v>52899</v>
      </c>
      <c r="ZX18" s="21" t="s">
        <v>15</v>
      </c>
      <c r="ZY18" s="22" t="s">
        <v>30</v>
      </c>
    </row>
    <row r="19">
      <c r="A19" s="47"/>
      <c r="B19" s="30" t="s">
        <v>31</v>
      </c>
      <c r="C19" s="31" t="s">
        <v>9</v>
      </c>
      <c r="D19" s="32">
        <v>755.7</v>
      </c>
      <c r="E19" s="33">
        <v>35.0</v>
      </c>
      <c r="F19" s="34">
        <f t="shared" si="2"/>
        <v>26449.5</v>
      </c>
      <c r="ZX19" s="21" t="s">
        <v>11</v>
      </c>
      <c r="ZY19" s="22"/>
    </row>
    <row r="20" ht="15.75" customHeight="1">
      <c r="A20" s="42"/>
      <c r="B20" s="43" t="s">
        <v>32</v>
      </c>
      <c r="C20" s="36"/>
      <c r="D20" s="26"/>
      <c r="E20" s="27"/>
      <c r="F20" s="28"/>
      <c r="ZX20" s="21" t="s">
        <v>11</v>
      </c>
      <c r="ZY20" s="22"/>
    </row>
    <row r="21" ht="15.75" customHeight="1">
      <c r="A21" s="29"/>
      <c r="B21" s="44" t="s">
        <v>33</v>
      </c>
      <c r="C21" s="31" t="s">
        <v>20</v>
      </c>
      <c r="D21" s="32">
        <v>140.0</v>
      </c>
      <c r="E21" s="33">
        <v>35.0</v>
      </c>
      <c r="F21" s="34">
        <f t="shared" ref="F21:F24" si="3">ROUND(D21*E21,2)</f>
        <v>4900</v>
      </c>
      <c r="ZX21" s="21" t="s">
        <v>15</v>
      </c>
      <c r="ZY21" s="22" t="s">
        <v>34</v>
      </c>
    </row>
    <row r="22" ht="15.75" customHeight="1">
      <c r="A22" s="29"/>
      <c r="B22" s="44" t="s">
        <v>35</v>
      </c>
      <c r="C22" s="31" t="s">
        <v>20</v>
      </c>
      <c r="D22" s="32">
        <v>200.0</v>
      </c>
      <c r="E22" s="33">
        <v>50.0</v>
      </c>
      <c r="F22" s="34">
        <f t="shared" si="3"/>
        <v>10000</v>
      </c>
      <c r="ZX22" s="21" t="s">
        <v>15</v>
      </c>
      <c r="ZY22" s="22" t="s">
        <v>36</v>
      </c>
    </row>
    <row r="23" ht="15.75" customHeight="1">
      <c r="A23" s="29"/>
      <c r="B23" s="44" t="s">
        <v>37</v>
      </c>
      <c r="C23" s="31" t="s">
        <v>20</v>
      </c>
      <c r="D23" s="32">
        <v>140.0</v>
      </c>
      <c r="E23" s="33">
        <v>30.0</v>
      </c>
      <c r="F23" s="34">
        <f t="shared" si="3"/>
        <v>4200</v>
      </c>
      <c r="ZX23" s="21" t="s">
        <v>15</v>
      </c>
      <c r="ZY23" s="22" t="s">
        <v>38</v>
      </c>
    </row>
    <row r="24" ht="15.75" customHeight="1">
      <c r="A24" s="29"/>
      <c r="B24" s="44" t="s">
        <v>39</v>
      </c>
      <c r="C24" s="31" t="s">
        <v>20</v>
      </c>
      <c r="D24" s="32">
        <v>80.0</v>
      </c>
      <c r="E24" s="33">
        <v>65.0</v>
      </c>
      <c r="F24" s="34">
        <f t="shared" si="3"/>
        <v>5200</v>
      </c>
      <c r="ZX24" s="21" t="s">
        <v>15</v>
      </c>
      <c r="ZY24" s="22" t="s">
        <v>40</v>
      </c>
    </row>
    <row r="25" ht="15.75" customHeight="1">
      <c r="A25" s="42"/>
      <c r="B25" s="43" t="s">
        <v>41</v>
      </c>
      <c r="C25" s="36"/>
      <c r="D25" s="26"/>
      <c r="E25" s="27"/>
      <c r="F25" s="28"/>
      <c r="ZX25" s="21" t="s">
        <v>11</v>
      </c>
      <c r="ZY25" s="22"/>
    </row>
    <row r="26" ht="15.75" customHeight="1">
      <c r="A26" s="29"/>
      <c r="B26" s="39" t="s">
        <v>42</v>
      </c>
      <c r="C26" s="31" t="s">
        <v>9</v>
      </c>
      <c r="D26" s="32">
        <v>347.8</v>
      </c>
      <c r="E26" s="33">
        <v>180.0</v>
      </c>
      <c r="F26" s="34">
        <f t="shared" ref="F26:F27" si="4">ROUND(D26*E26,2)</f>
        <v>62604</v>
      </c>
      <c r="ZX26" s="21" t="s">
        <v>15</v>
      </c>
      <c r="ZY26" s="22" t="s">
        <v>43</v>
      </c>
    </row>
    <row r="27" ht="42.0" customHeight="1">
      <c r="A27" s="29"/>
      <c r="B27" s="46" t="s">
        <v>44</v>
      </c>
      <c r="C27" s="31" t="s">
        <v>20</v>
      </c>
      <c r="D27" s="32">
        <v>574.0</v>
      </c>
      <c r="E27" s="33">
        <v>80.0</v>
      </c>
      <c r="F27" s="34">
        <f t="shared" si="4"/>
        <v>45920</v>
      </c>
      <c r="ZY27" s="22"/>
    </row>
    <row r="28" ht="15.75" customHeight="1">
      <c r="A28" s="29"/>
      <c r="B28" s="48" t="s">
        <v>45</v>
      </c>
      <c r="C28" s="31" t="s">
        <v>46</v>
      </c>
      <c r="D28" s="32">
        <v>34.0</v>
      </c>
      <c r="E28" s="33">
        <v>7000.0</v>
      </c>
      <c r="F28" s="41">
        <v>7000.0</v>
      </c>
      <c r="ZY28" s="22"/>
    </row>
    <row r="29" ht="15.75" customHeight="1">
      <c r="A29" s="29"/>
      <c r="B29" s="44" t="s">
        <v>47</v>
      </c>
      <c r="C29" s="49" t="s">
        <v>1</v>
      </c>
      <c r="D29" s="50">
        <v>1.0</v>
      </c>
      <c r="E29" s="51">
        <v>750.0</v>
      </c>
      <c r="F29" s="34">
        <f>ROUND(D29*E29,2)</f>
        <v>750</v>
      </c>
      <c r="ZY29" s="22"/>
    </row>
    <row r="30" ht="15.75" customHeight="1">
      <c r="A30" s="42"/>
      <c r="B30" s="43" t="s">
        <v>48</v>
      </c>
      <c r="C30" s="36"/>
      <c r="D30" s="26"/>
      <c r="E30" s="27"/>
      <c r="F30" s="28"/>
      <c r="ZX30" s="21" t="s">
        <v>11</v>
      </c>
      <c r="ZY30" s="22"/>
    </row>
    <row r="31" ht="15.75" customHeight="1">
      <c r="A31" s="29"/>
      <c r="B31" s="44" t="s">
        <v>49</v>
      </c>
      <c r="C31" s="31" t="s">
        <v>9</v>
      </c>
      <c r="D31" s="32">
        <v>69.9</v>
      </c>
      <c r="E31" s="33">
        <v>60.0</v>
      </c>
      <c r="F31" s="34">
        <f t="shared" ref="F31:F33" si="5">ROUND(D31*E31,2)</f>
        <v>4194</v>
      </c>
      <c r="ZY31" s="22"/>
    </row>
    <row r="32" ht="15.75" customHeight="1">
      <c r="A32" s="52"/>
      <c r="B32" s="53" t="s">
        <v>50</v>
      </c>
      <c r="C32" s="31" t="s">
        <v>20</v>
      </c>
      <c r="D32" s="32">
        <v>48.0</v>
      </c>
      <c r="E32" s="33">
        <v>6.5</v>
      </c>
      <c r="F32" s="34">
        <f t="shared" si="5"/>
        <v>312</v>
      </c>
    </row>
    <row r="33" ht="15.75" customHeight="1">
      <c r="A33" s="52"/>
      <c r="B33" s="53" t="s">
        <v>51</v>
      </c>
      <c r="C33" s="31" t="s">
        <v>9</v>
      </c>
      <c r="D33" s="32">
        <v>51.04</v>
      </c>
      <c r="E33" s="33">
        <v>60.0</v>
      </c>
      <c r="F33" s="34">
        <f t="shared" si="5"/>
        <v>3062.4</v>
      </c>
    </row>
    <row r="34" ht="15.75" customHeight="1">
      <c r="A34" s="54"/>
      <c r="B34" s="55" t="s">
        <v>52</v>
      </c>
      <c r="C34" s="56"/>
      <c r="D34" s="57"/>
      <c r="E34" s="58"/>
      <c r="F34" s="59"/>
    </row>
    <row r="35" ht="15.75" customHeight="1">
      <c r="A35" s="22"/>
      <c r="B35" s="60" t="s">
        <v>53</v>
      </c>
      <c r="C35" s="61" t="s">
        <v>9</v>
      </c>
      <c r="D35" s="50">
        <v>12.0</v>
      </c>
      <c r="E35" s="62">
        <v>40.0</v>
      </c>
      <c r="F35" s="34">
        <f>ROUND(D35*E35,2)</f>
        <v>480</v>
      </c>
    </row>
    <row r="36" ht="15.75" customHeight="1">
      <c r="A36" s="63"/>
      <c r="B36" s="55" t="s">
        <v>54</v>
      </c>
      <c r="C36" s="64" t="s">
        <v>55</v>
      </c>
      <c r="D36" s="65">
        <v>1.0</v>
      </c>
      <c r="E36" s="66">
        <v>11739.96</v>
      </c>
      <c r="F36" s="67">
        <v>11739.96</v>
      </c>
      <c r="G36" s="68" t="s">
        <v>56</v>
      </c>
    </row>
    <row r="37" ht="15.75" customHeight="1">
      <c r="A37" s="69"/>
      <c r="B37" s="70"/>
      <c r="C37" s="71"/>
      <c r="D37" s="72"/>
      <c r="E37" s="73"/>
      <c r="F37" s="74"/>
    </row>
    <row r="38" ht="15.75" customHeight="1">
      <c r="A38" s="75"/>
      <c r="B38" s="76" t="s">
        <v>57</v>
      </c>
      <c r="C38" s="77"/>
      <c r="D38" s="78"/>
      <c r="E38" s="79"/>
      <c r="F38" s="80">
        <f>SUBTOTAL(109,F4:F36)</f>
        <v>794884.06</v>
      </c>
      <c r="ZX38" s="21" t="s">
        <v>58</v>
      </c>
    </row>
    <row r="39" ht="15.75" customHeight="1">
      <c r="A39" s="75"/>
      <c r="B39" s="81" t="s">
        <v>59</v>
      </c>
      <c r="C39" s="77"/>
      <c r="D39" s="78"/>
      <c r="E39" s="79"/>
      <c r="F39" s="82">
        <v>0.2</v>
      </c>
      <c r="ZX39" s="21" t="s">
        <v>60</v>
      </c>
    </row>
    <row r="40" ht="15.75" customHeight="1">
      <c r="A40" s="75"/>
      <c r="B40" s="81" t="s">
        <v>61</v>
      </c>
      <c r="C40" s="77"/>
      <c r="D40" s="78"/>
      <c r="E40" s="79"/>
      <c r="F40" s="80">
        <f>(F38*F39)</f>
        <v>158976.812</v>
      </c>
      <c r="ZX40" s="21" t="s">
        <v>62</v>
      </c>
    </row>
    <row r="41" ht="15.75" customHeight="1">
      <c r="A41" s="75"/>
      <c r="B41" s="81" t="s">
        <v>63</v>
      </c>
      <c r="C41" s="77"/>
      <c r="D41" s="78"/>
      <c r="E41" s="79"/>
      <c r="F41" s="80">
        <f>F38+F40</f>
        <v>953860.872</v>
      </c>
      <c r="ZX41" s="21" t="s">
        <v>64</v>
      </c>
    </row>
    <row r="42" ht="15.75" customHeight="1">
      <c r="A42" s="75"/>
      <c r="C42" s="77"/>
      <c r="D42" s="78"/>
      <c r="E42" s="79"/>
      <c r="F42" s="80"/>
    </row>
    <row r="43" ht="15.75" customHeight="1">
      <c r="A43" s="75"/>
      <c r="B43" s="83" t="s">
        <v>65</v>
      </c>
      <c r="C43" s="84"/>
      <c r="D43" s="78"/>
      <c r="E43" s="79"/>
      <c r="F43" s="85"/>
    </row>
    <row r="44" ht="15.75" customHeight="1">
      <c r="A44" s="75"/>
      <c r="B44" s="83" t="s">
        <v>66</v>
      </c>
      <c r="C44" s="86"/>
      <c r="D44" s="87"/>
      <c r="E44" s="79"/>
      <c r="F44" s="85"/>
    </row>
    <row r="45" ht="15.75" customHeight="1">
      <c r="A45" s="75"/>
      <c r="B45" s="83" t="s">
        <v>67</v>
      </c>
      <c r="C45" s="84"/>
      <c r="D45" s="78"/>
      <c r="E45" s="79"/>
      <c r="F45" s="85"/>
    </row>
  </sheetData>
  <mergeCells count="1">
    <mergeCell ref="A1:F1"/>
  </mergeCells>
  <printOptions horizontalCentered="1"/>
  <pageMargins bottom="0.06" footer="0.0" header="0.0" left="0.06" right="0.06" top="0.06"/>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9.71"/>
    <col customWidth="1" min="2" max="2" width="68.86"/>
    <col customWidth="1" min="3" max="3" width="7.71"/>
    <col customWidth="1" min="4" max="4" width="13.0"/>
    <col customWidth="1" min="5" max="5" width="10.71"/>
    <col customWidth="1" min="6" max="6" width="12.71"/>
    <col customWidth="1" min="7" max="701" width="10.71"/>
  </cols>
  <sheetData>
    <row r="1" ht="82.5" customHeight="1">
      <c r="A1" s="1"/>
      <c r="B1" s="2"/>
      <c r="C1" s="2"/>
      <c r="D1" s="2"/>
      <c r="E1" s="2"/>
      <c r="F1" s="3"/>
    </row>
    <row r="2">
      <c r="A2" s="1"/>
      <c r="B2" s="4" t="s">
        <v>0</v>
      </c>
      <c r="C2" s="5" t="s">
        <v>1</v>
      </c>
      <c r="D2" s="5" t="s">
        <v>2</v>
      </c>
      <c r="E2" s="88" t="s">
        <v>68</v>
      </c>
      <c r="F2" s="89" t="s">
        <v>69</v>
      </c>
    </row>
    <row r="3">
      <c r="A3" s="9"/>
      <c r="B3" s="10"/>
      <c r="C3" s="11"/>
      <c r="D3" s="90"/>
      <c r="E3" s="13"/>
      <c r="F3" s="91"/>
    </row>
    <row r="4">
      <c r="A4" s="15"/>
      <c r="B4" s="16" t="s">
        <v>5</v>
      </c>
      <c r="C4" s="17"/>
      <c r="D4" s="92"/>
      <c r="E4" s="19"/>
      <c r="F4" s="93"/>
      <c r="ZX4" s="21" t="s">
        <v>6</v>
      </c>
      <c r="ZY4" s="22"/>
    </row>
    <row r="5">
      <c r="A5" s="23"/>
      <c r="B5" s="24" t="s">
        <v>7</v>
      </c>
      <c r="C5" s="25"/>
      <c r="D5" s="94"/>
      <c r="E5" s="27"/>
      <c r="F5" s="95"/>
      <c r="ZY5" s="22"/>
    </row>
    <row r="6">
      <c r="A6" s="29"/>
      <c r="B6" s="30" t="s">
        <v>8</v>
      </c>
      <c r="C6" s="31" t="s">
        <v>9</v>
      </c>
      <c r="D6" s="96">
        <v>2348.6</v>
      </c>
      <c r="E6" s="33">
        <v>30.0</v>
      </c>
      <c r="F6" s="34">
        <f t="shared" ref="F6:F33" si="1">ROUND(D6*E6,2)</f>
        <v>70458</v>
      </c>
      <c r="ZY6" s="22"/>
    </row>
    <row r="7">
      <c r="A7" s="35"/>
      <c r="B7" s="24" t="s">
        <v>10</v>
      </c>
      <c r="C7" s="36"/>
      <c r="D7" s="97"/>
      <c r="E7" s="27"/>
      <c r="F7" s="95">
        <f t="shared" si="1"/>
        <v>0</v>
      </c>
      <c r="ZX7" s="21" t="s">
        <v>11</v>
      </c>
      <c r="ZY7" s="22"/>
    </row>
    <row r="8">
      <c r="A8" s="37"/>
      <c r="B8" s="30" t="s">
        <v>12</v>
      </c>
      <c r="C8" s="31" t="s">
        <v>9</v>
      </c>
      <c r="D8" s="96">
        <v>2348.6</v>
      </c>
      <c r="E8" s="33">
        <v>130.0</v>
      </c>
      <c r="F8" s="34">
        <f t="shared" si="1"/>
        <v>305318</v>
      </c>
      <c r="ZY8" s="22"/>
    </row>
    <row r="9">
      <c r="A9" s="38"/>
      <c r="B9" s="24" t="s">
        <v>13</v>
      </c>
      <c r="C9" s="36"/>
      <c r="D9" s="97"/>
      <c r="E9" s="27"/>
      <c r="F9" s="95">
        <f t="shared" si="1"/>
        <v>0</v>
      </c>
      <c r="ZX9" s="21" t="s">
        <v>11</v>
      </c>
      <c r="ZY9" s="22"/>
    </row>
    <row r="10">
      <c r="A10" s="37"/>
      <c r="B10" s="39" t="s">
        <v>70</v>
      </c>
      <c r="C10" s="31" t="s">
        <v>9</v>
      </c>
      <c r="D10" s="96">
        <v>2348.6</v>
      </c>
      <c r="E10" s="33">
        <v>45.0</v>
      </c>
      <c r="F10" s="34">
        <f t="shared" si="1"/>
        <v>105687</v>
      </c>
      <c r="ZX10" s="21" t="s">
        <v>15</v>
      </c>
      <c r="ZY10" s="22" t="s">
        <v>16</v>
      </c>
    </row>
    <row r="11">
      <c r="A11" s="37"/>
      <c r="B11" s="30" t="s">
        <v>17</v>
      </c>
      <c r="C11" s="31" t="s">
        <v>9</v>
      </c>
      <c r="D11" s="96">
        <v>2348.6</v>
      </c>
      <c r="E11" s="33">
        <v>0.59</v>
      </c>
      <c r="F11" s="34">
        <f t="shared" si="1"/>
        <v>1385.67</v>
      </c>
      <c r="ZX11" s="21" t="s">
        <v>15</v>
      </c>
      <c r="ZY11" s="22" t="s">
        <v>18</v>
      </c>
    </row>
    <row r="12">
      <c r="A12" s="37"/>
      <c r="B12" s="30" t="s">
        <v>71</v>
      </c>
      <c r="C12" s="31" t="s">
        <v>20</v>
      </c>
      <c r="D12" s="96">
        <v>1409.0</v>
      </c>
      <c r="E12" s="33">
        <v>10.0</v>
      </c>
      <c r="F12" s="34">
        <f t="shared" si="1"/>
        <v>14090</v>
      </c>
      <c r="ZX12" s="21" t="s">
        <v>15</v>
      </c>
      <c r="ZY12" s="22" t="s">
        <v>21</v>
      </c>
    </row>
    <row r="13">
      <c r="A13" s="42"/>
      <c r="B13" s="43" t="s">
        <v>22</v>
      </c>
      <c r="C13" s="36"/>
      <c r="D13" s="97"/>
      <c r="E13" s="27"/>
      <c r="F13" s="95">
        <f t="shared" si="1"/>
        <v>0</v>
      </c>
      <c r="ZX13" s="21" t="s">
        <v>11</v>
      </c>
      <c r="ZY13" s="22"/>
    </row>
    <row r="14">
      <c r="A14" s="29"/>
      <c r="B14" s="44" t="s">
        <v>72</v>
      </c>
      <c r="C14" s="31" t="s">
        <v>9</v>
      </c>
      <c r="D14" s="96">
        <v>299.2</v>
      </c>
      <c r="E14" s="33">
        <v>55.0</v>
      </c>
      <c r="F14" s="34">
        <f t="shared" si="1"/>
        <v>16456</v>
      </c>
      <c r="ZX14" s="21" t="s">
        <v>15</v>
      </c>
      <c r="ZY14" s="22" t="s">
        <v>24</v>
      </c>
    </row>
    <row r="15">
      <c r="A15" s="29"/>
      <c r="B15" s="44" t="s">
        <v>25</v>
      </c>
      <c r="C15" s="31" t="s">
        <v>9</v>
      </c>
      <c r="D15" s="96">
        <v>299.2</v>
      </c>
      <c r="E15" s="33">
        <v>25.0</v>
      </c>
      <c r="F15" s="34">
        <f t="shared" si="1"/>
        <v>7480</v>
      </c>
      <c r="ZY15" s="22"/>
    </row>
    <row r="16">
      <c r="A16" s="29"/>
      <c r="B16" s="44" t="s">
        <v>26</v>
      </c>
      <c r="C16" s="31" t="s">
        <v>20</v>
      </c>
      <c r="D16" s="96">
        <v>380.0</v>
      </c>
      <c r="E16" s="33">
        <v>8.0</v>
      </c>
      <c r="F16" s="34">
        <f t="shared" si="1"/>
        <v>3040</v>
      </c>
      <c r="ZX16" s="21" t="s">
        <v>15</v>
      </c>
      <c r="ZY16" s="22" t="s">
        <v>27</v>
      </c>
    </row>
    <row r="17" ht="15.75" customHeight="1">
      <c r="A17" s="45"/>
      <c r="B17" s="24" t="s">
        <v>28</v>
      </c>
      <c r="C17" s="36"/>
      <c r="D17" s="97"/>
      <c r="E17" s="27"/>
      <c r="F17" s="95">
        <f t="shared" si="1"/>
        <v>0</v>
      </c>
      <c r="ZX17" s="21" t="s">
        <v>11</v>
      </c>
      <c r="ZY17" s="22"/>
    </row>
    <row r="18" ht="27.75" customHeight="1">
      <c r="A18" s="37"/>
      <c r="B18" s="46" t="s">
        <v>73</v>
      </c>
      <c r="C18" s="31" t="s">
        <v>9</v>
      </c>
      <c r="D18" s="96">
        <v>560.8</v>
      </c>
      <c r="E18" s="33">
        <v>85.0</v>
      </c>
      <c r="F18" s="34">
        <f t="shared" si="1"/>
        <v>47668</v>
      </c>
      <c r="ZX18" s="21" t="s">
        <v>15</v>
      </c>
      <c r="ZY18" s="22" t="s">
        <v>30</v>
      </c>
    </row>
    <row r="19">
      <c r="A19" s="47"/>
      <c r="B19" s="30" t="s">
        <v>31</v>
      </c>
      <c r="C19" s="31" t="s">
        <v>9</v>
      </c>
      <c r="D19" s="96">
        <v>560.8</v>
      </c>
      <c r="E19" s="33">
        <v>35.0</v>
      </c>
      <c r="F19" s="34">
        <f t="shared" si="1"/>
        <v>19628</v>
      </c>
      <c r="ZX19" s="21" t="s">
        <v>11</v>
      </c>
      <c r="ZY19" s="22"/>
    </row>
    <row r="20" ht="15.75" customHeight="1">
      <c r="A20" s="42"/>
      <c r="B20" s="43" t="s">
        <v>74</v>
      </c>
      <c r="C20" s="36"/>
      <c r="D20" s="97"/>
      <c r="E20" s="27"/>
      <c r="F20" s="95">
        <f t="shared" si="1"/>
        <v>0</v>
      </c>
      <c r="ZX20" s="21" t="s">
        <v>11</v>
      </c>
      <c r="ZY20" s="22"/>
    </row>
    <row r="21" ht="15.75" customHeight="1">
      <c r="A21" s="29"/>
      <c r="B21" s="44" t="s">
        <v>75</v>
      </c>
      <c r="C21" s="31" t="s">
        <v>20</v>
      </c>
      <c r="D21" s="98">
        <v>230.0</v>
      </c>
      <c r="E21" s="33">
        <v>35.0</v>
      </c>
      <c r="F21" s="34">
        <f t="shared" si="1"/>
        <v>8050</v>
      </c>
      <c r="ZX21" s="21" t="s">
        <v>15</v>
      </c>
      <c r="ZY21" s="22" t="s">
        <v>34</v>
      </c>
    </row>
    <row r="22" ht="15.75" customHeight="1">
      <c r="A22" s="29"/>
      <c r="B22" s="44" t="s">
        <v>76</v>
      </c>
      <c r="C22" s="31" t="s">
        <v>20</v>
      </c>
      <c r="D22" s="99">
        <v>150.0</v>
      </c>
      <c r="E22" s="33">
        <v>50.0</v>
      </c>
      <c r="F22" s="34">
        <f t="shared" si="1"/>
        <v>7500</v>
      </c>
      <c r="ZX22" s="21" t="s">
        <v>15</v>
      </c>
      <c r="ZY22" s="22" t="s">
        <v>36</v>
      </c>
    </row>
    <row r="23" ht="15.75" customHeight="1">
      <c r="A23" s="29"/>
      <c r="B23" s="44" t="s">
        <v>77</v>
      </c>
      <c r="C23" s="31" t="s">
        <v>20</v>
      </c>
      <c r="D23" s="99">
        <v>190.0</v>
      </c>
      <c r="E23" s="33">
        <v>30.0</v>
      </c>
      <c r="F23" s="34">
        <f t="shared" si="1"/>
        <v>5700</v>
      </c>
      <c r="ZX23" s="21" t="s">
        <v>15</v>
      </c>
      <c r="ZY23" s="22" t="s">
        <v>38</v>
      </c>
    </row>
    <row r="24" ht="15.75" customHeight="1">
      <c r="A24" s="29"/>
      <c r="B24" s="44" t="s">
        <v>78</v>
      </c>
      <c r="C24" s="31" t="s">
        <v>20</v>
      </c>
      <c r="D24" s="99">
        <v>60.0</v>
      </c>
      <c r="E24" s="33">
        <v>65.0</v>
      </c>
      <c r="F24" s="34">
        <f t="shared" si="1"/>
        <v>3900</v>
      </c>
      <c r="ZX24" s="21" t="s">
        <v>15</v>
      </c>
      <c r="ZY24" s="22" t="s">
        <v>40</v>
      </c>
    </row>
    <row r="25" ht="15.75" customHeight="1">
      <c r="A25" s="42"/>
      <c r="B25" s="43" t="s">
        <v>79</v>
      </c>
      <c r="C25" s="36"/>
      <c r="D25" s="97"/>
      <c r="E25" s="27"/>
      <c r="F25" s="95">
        <f t="shared" si="1"/>
        <v>0</v>
      </c>
      <c r="ZX25" s="21" t="s">
        <v>11</v>
      </c>
      <c r="ZY25" s="22"/>
    </row>
    <row r="26" ht="15.75" customHeight="1">
      <c r="A26" s="29"/>
      <c r="B26" s="44" t="s">
        <v>80</v>
      </c>
      <c r="C26" s="31" t="s">
        <v>9</v>
      </c>
      <c r="D26" s="96">
        <v>285.2</v>
      </c>
      <c r="E26" s="33">
        <v>60.0</v>
      </c>
      <c r="F26" s="34">
        <f t="shared" si="1"/>
        <v>17112</v>
      </c>
      <c r="ZX26" s="21" t="s">
        <v>15</v>
      </c>
      <c r="ZY26" s="22" t="s">
        <v>43</v>
      </c>
    </row>
    <row r="27" ht="15.75" customHeight="1">
      <c r="A27" s="29"/>
      <c r="B27" s="44" t="s">
        <v>81</v>
      </c>
      <c r="C27" s="31" t="s">
        <v>20</v>
      </c>
      <c r="D27" s="96">
        <v>471.0</v>
      </c>
      <c r="E27" s="33">
        <v>10.0</v>
      </c>
      <c r="F27" s="34">
        <f t="shared" si="1"/>
        <v>4710</v>
      </c>
      <c r="ZY27" s="22"/>
    </row>
    <row r="28" ht="15.75" customHeight="1">
      <c r="A28" s="29"/>
      <c r="B28" s="44" t="s">
        <v>82</v>
      </c>
      <c r="C28" s="31" t="s">
        <v>20</v>
      </c>
      <c r="D28" s="96">
        <v>471.0</v>
      </c>
      <c r="E28" s="33">
        <v>0.59</v>
      </c>
      <c r="F28" s="34">
        <f t="shared" si="1"/>
        <v>277.89</v>
      </c>
      <c r="ZY28" s="22"/>
    </row>
    <row r="29" ht="15.75" customHeight="1">
      <c r="A29" s="29"/>
      <c r="B29" s="44" t="s">
        <v>83</v>
      </c>
      <c r="C29" s="31" t="s">
        <v>1</v>
      </c>
      <c r="D29" s="96">
        <v>1.0</v>
      </c>
      <c r="E29" s="33">
        <v>750.0</v>
      </c>
      <c r="F29" s="34">
        <f t="shared" si="1"/>
        <v>750</v>
      </c>
      <c r="ZY29" s="22"/>
    </row>
    <row r="30" ht="15.75" customHeight="1">
      <c r="A30" s="42"/>
      <c r="B30" s="43" t="s">
        <v>48</v>
      </c>
      <c r="C30" s="36"/>
      <c r="D30" s="97"/>
      <c r="E30" s="27"/>
      <c r="F30" s="95">
        <f t="shared" si="1"/>
        <v>0</v>
      </c>
      <c r="ZX30" s="21" t="s">
        <v>11</v>
      </c>
      <c r="ZY30" s="22"/>
    </row>
    <row r="31" ht="15.75" customHeight="1">
      <c r="A31" s="29"/>
      <c r="B31" s="44" t="s">
        <v>84</v>
      </c>
      <c r="C31" s="31" t="s">
        <v>9</v>
      </c>
      <c r="D31" s="32">
        <v>69.9</v>
      </c>
      <c r="E31" s="33">
        <v>60.0</v>
      </c>
      <c r="F31" s="34">
        <f t="shared" si="1"/>
        <v>4194</v>
      </c>
      <c r="ZY31" s="22"/>
    </row>
    <row r="32" ht="15.75" customHeight="1">
      <c r="A32" s="29"/>
      <c r="B32" s="44" t="s">
        <v>50</v>
      </c>
      <c r="C32" s="31" t="s">
        <v>20</v>
      </c>
      <c r="D32" s="32">
        <v>48.0</v>
      </c>
      <c r="E32" s="33">
        <v>6.5</v>
      </c>
      <c r="F32" s="34">
        <f t="shared" si="1"/>
        <v>312</v>
      </c>
      <c r="ZY32" s="22"/>
    </row>
    <row r="33" ht="15.75" customHeight="1">
      <c r="A33" s="52"/>
      <c r="B33" s="53" t="s">
        <v>51</v>
      </c>
      <c r="C33" s="31" t="s">
        <v>9</v>
      </c>
      <c r="D33" s="32">
        <v>51.04</v>
      </c>
      <c r="E33" s="33">
        <v>60.0</v>
      </c>
      <c r="F33" s="34">
        <f t="shared" si="1"/>
        <v>3062.4</v>
      </c>
    </row>
    <row r="34" ht="15.75" customHeight="1">
      <c r="A34" s="100"/>
      <c r="B34" s="101" t="s">
        <v>52</v>
      </c>
      <c r="C34" s="102"/>
      <c r="D34" s="97"/>
      <c r="E34" s="27"/>
      <c r="F34" s="28"/>
    </row>
    <row r="35" ht="15.75" customHeight="1">
      <c r="A35" s="22"/>
      <c r="B35" s="103" t="s">
        <v>53</v>
      </c>
      <c r="C35" s="104" t="s">
        <v>9</v>
      </c>
      <c r="D35" s="105">
        <v>47.4</v>
      </c>
      <c r="E35" s="62">
        <v>40.0</v>
      </c>
      <c r="F35" s="34">
        <f>ROUND(D35*E35,2)</f>
        <v>1896</v>
      </c>
    </row>
    <row r="36" ht="15.75" customHeight="1">
      <c r="A36" s="106"/>
      <c r="B36" s="107" t="s">
        <v>54</v>
      </c>
      <c r="C36" s="108" t="s">
        <v>85</v>
      </c>
      <c r="D36" s="109">
        <v>1.0</v>
      </c>
      <c r="E36" s="110">
        <v>9701.68</v>
      </c>
      <c r="F36" s="111">
        <v>9701.68</v>
      </c>
    </row>
    <row r="37" ht="15.75" customHeight="1">
      <c r="A37" s="22"/>
      <c r="B37" s="103"/>
      <c r="C37" s="112"/>
      <c r="D37" s="112"/>
      <c r="E37" s="62"/>
      <c r="F37" s="113"/>
    </row>
    <row r="38" ht="15.75" customHeight="1">
      <c r="A38" s="22"/>
      <c r="B38" s="103"/>
      <c r="C38" s="112"/>
      <c r="D38" s="112"/>
      <c r="E38" s="62"/>
      <c r="F38" s="113"/>
    </row>
    <row r="39" ht="15.75" customHeight="1">
      <c r="A39" s="22"/>
      <c r="B39" s="114"/>
      <c r="C39" s="115"/>
      <c r="D39" s="114"/>
      <c r="E39" s="116"/>
      <c r="F39" s="114"/>
    </row>
    <row r="40" ht="15.75" customHeight="1">
      <c r="A40" s="75"/>
      <c r="B40" s="76" t="s">
        <v>57</v>
      </c>
      <c r="C40" s="77"/>
      <c r="E40" s="79"/>
      <c r="F40" s="117">
        <f>SUBTOTAL(109,F4:F36)</f>
        <v>658376.64</v>
      </c>
      <c r="ZX40" s="21" t="s">
        <v>58</v>
      </c>
    </row>
    <row r="41" ht="15.75" customHeight="1">
      <c r="A41" s="75"/>
      <c r="B41" s="81" t="s">
        <v>59</v>
      </c>
      <c r="C41" s="77"/>
      <c r="E41" s="79"/>
      <c r="F41" s="82">
        <v>0.2</v>
      </c>
      <c r="ZX41" s="21" t="s">
        <v>60</v>
      </c>
    </row>
    <row r="42" ht="15.75" customHeight="1">
      <c r="A42" s="75"/>
      <c r="B42" s="81" t="s">
        <v>61</v>
      </c>
      <c r="C42" s="77"/>
      <c r="E42" s="79"/>
      <c r="F42" s="117">
        <f>(F40*F41)</f>
        <v>131675.328</v>
      </c>
      <c r="ZX42" s="21" t="s">
        <v>62</v>
      </c>
    </row>
    <row r="43" ht="15.75" customHeight="1">
      <c r="A43" s="75"/>
      <c r="B43" s="81" t="s">
        <v>63</v>
      </c>
      <c r="C43" s="77"/>
      <c r="E43" s="79"/>
      <c r="F43" s="117">
        <f>F40+F42</f>
        <v>790051.968</v>
      </c>
      <c r="ZX43" s="21" t="s">
        <v>64</v>
      </c>
    </row>
    <row r="44" ht="15.75" customHeight="1">
      <c r="A44" s="75"/>
      <c r="C44" s="77"/>
      <c r="E44" s="79"/>
      <c r="F44" s="117"/>
    </row>
    <row r="45" ht="15.75" customHeight="1">
      <c r="A45" s="75"/>
      <c r="B45" s="83" t="s">
        <v>65</v>
      </c>
      <c r="C45" s="84"/>
      <c r="E45" s="79"/>
    </row>
    <row r="46" ht="15.75" customHeight="1">
      <c r="A46" s="75"/>
      <c r="B46" s="83" t="s">
        <v>66</v>
      </c>
      <c r="C46" s="86"/>
      <c r="D46" s="118"/>
      <c r="E46" s="79"/>
    </row>
    <row r="47" ht="15.75" customHeight="1">
      <c r="A47" s="75"/>
      <c r="B47" s="83" t="s">
        <v>67</v>
      </c>
      <c r="C47" s="84"/>
      <c r="E47" s="79"/>
    </row>
  </sheetData>
  <mergeCells count="1">
    <mergeCell ref="A1:F1"/>
  </mergeCells>
  <printOptions horizontalCentered="1"/>
  <pageMargins bottom="0.06" footer="0.0" header="0.0" left="0.06" right="0.06" top="0.06"/>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2023-03-11T14:00:03Z</dcterms:created>
  <dc:creator>Yannick</dc:creator>
</cp:coreProperties>
</file>