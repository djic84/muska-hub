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PGF - Lot 03" sheetId="1" r:id="rId5"/>
    <sheet state="visible" name="BPU - Lot 03" sheetId="2" r:id="rId6"/>
    <sheet state="visible" name="DQE - Lot 03" sheetId="3" r:id="rId7"/>
    <sheet state="visible" name="Récapitulatif" sheetId="4" r:id="rId8"/>
  </sheets>
  <definedNames/>
  <calcPr/>
</workbook>
</file>

<file path=xl/sharedStrings.xml><?xml version="1.0" encoding="utf-8"?>
<sst xmlns="http://schemas.openxmlformats.org/spreadsheetml/2006/main" count="345" uniqueCount="248">
  <si>
    <t>RÉSIDENCE MUSKA — FRONTIGNAN (34110)
DÉCOMPOSITION DU PRIX GLOBAL ET FORFAITAIRE (DPGF)
LOT 03 — CARRELAGE / REVÊTEMENTS DE SOLS ET MURS</t>
  </si>
  <si>
    <t>SCCV Muska / TerraOccitana SAS  —  Architecte : Cabinet B2BA / Pauline Barbat  —  Avril 2026</t>
  </si>
  <si>
    <t>Entreprise candidate :</t>
  </si>
  <si>
    <t>Date de remise de l'offre :</t>
  </si>
  <si>
    <t>LÉGENDE :</t>
  </si>
  <si>
    <t xml:space="preserve">  Saisie entreprise (texte bleu)</t>
  </si>
  <si>
    <t xml:space="preserve">  Calcul automatique</t>
  </si>
  <si>
    <t xml:space="preserve">  Sous-total / Total</t>
  </si>
  <si>
    <t xml:space="preserve">  En-tête de section</t>
  </si>
  <si>
    <t>N° Poste</t>
  </si>
  <si>
    <t>Désignation de l'ouvrage</t>
  </si>
  <si>
    <t>Unité</t>
  </si>
  <si>
    <t>Quantité indicative</t>
  </si>
  <si>
    <t>Prix unitaire HT (€)
[à saisir]</t>
  </si>
  <si>
    <t>Montant forfaitaire HT (€)
[à saisir / vérifier]</t>
  </si>
  <si>
    <t>TVA (%)</t>
  </si>
  <si>
    <t>Montant TTC (€)</t>
  </si>
  <si>
    <t>SOUS-LOT 03A — SEGMENT LIBRE (30 logements + parties communes Libre)</t>
  </si>
  <si>
    <t>1. REVÊTEMENTS DE SOLS — PIÈCES SÈCHES (Séjour, Chambres, Dégagements)</t>
  </si>
  <si>
    <t>03A.1.01</t>
  </si>
  <si>
    <t>Fourniture et pose grès cérame imitation travertin 120×120 mm finition soie/lappato (ref. Atlas Concorde Supernova ou Marazzi Travertino). Pose collée sur chape ou dalle béton, joints époxy MAPEI Kerapoxy Design (joint ciment interdit). Inclus : ragréage, préparation support, découpes, plinthes assorties h=10 cm.</t>
  </si>
  <si>
    <t>m²</t>
  </si>
  <si>
    <t>03A.1.02</t>
  </si>
  <si>
    <t>Plus-value pose en diagonale ou motif décalé (sur demande architecte)</t>
  </si>
  <si>
    <t>03A.1.03</t>
  </si>
  <si>
    <t>Fourniture et pose parquet contrecollé chêne 14/3 mm vernis mat (ref. BOEN ou PANAGET) — OPTION sur validation CDC. Pose flottante sur sous-couche phonique. Plinthes laquées blanc haute brillance h=10 cm.</t>
  </si>
  <si>
    <t>03A.1.04</t>
  </si>
  <si>
    <t>Plinthes laquées blanc haute brillance (si carrelage sans plinthe intégrée)</t>
  </si>
  <si>
    <t>ml</t>
  </si>
  <si>
    <t>Sous-total 1 — Sols secs Libre HT</t>
  </si>
  <si>
    <t>2. REVÊTEMENTS DE SOLS — PIÈCES HUMIDES (Salles de bain, WC, Cuisines)</t>
  </si>
  <si>
    <t>03A.2.01</t>
  </si>
  <si>
    <t>Fourniture et pose grès cérame imitation travertin 60×60 mm finition mate (antidérapant R9 min.). Pose collée, joints époxy MAPEI Kerapoxy Design. Inclus : préparation support, découpes, seuils, nez de marche.</t>
  </si>
  <si>
    <t>03A.2.02</t>
  </si>
  <si>
    <t>Fourniture et pose receveur de douche à l'italienne ou PMR seuil 0 mm, grès cérame R11 (antidérapant renforcé). Inclus : étanchéité SPEC, caniveau inox, rejingot étanche.</t>
  </si>
  <si>
    <t>u</t>
  </si>
  <si>
    <t>03A.2.03</t>
  </si>
  <si>
    <t>Bande d'étanchéité périphérique (jonction sol/mur pièces humides)</t>
  </si>
  <si>
    <t>Sous-total 2 — Sols humides Libre HT</t>
  </si>
  <si>
    <t>3. REVÊTEMENTS MURAUX — FAÏENCE (Salles de bain, WC, Cuisines)</t>
  </si>
  <si>
    <t>03A.3.01</t>
  </si>
  <si>
    <t>Fourniture et pose faïence murale brillante format 7,5×30 mm (ref. prestige, choix architecte). Pose collée, joints époxy. Inclus : préparation support, découpes, finitions angles (profilés inox ou aluminium anodisé).</t>
  </si>
  <si>
    <t>03A.3.02</t>
  </si>
  <si>
    <t>Profilés finition angles intérieurs et extérieurs (inox ou aluminium)</t>
  </si>
  <si>
    <t>03A.3.03</t>
  </si>
  <si>
    <t>Niche carrelée encastrée (salle de bain) — fourniture et pose</t>
  </si>
  <si>
    <t>Sous-total 3 — Faïence murale Libre HT</t>
  </si>
  <si>
    <t>4. TERRASSES PRIVATIVES — SEGMENT LIBRE</t>
  </si>
  <si>
    <t>03A.4.01</t>
  </si>
  <si>
    <t>Fourniture et pose pierre travertin véritable 60×60 mm ép. 20 mm (ref. ANJOU Travertin). Pose sur plots réglables BUZON (fournis et posés). Inclus : relevés étanchéité, joints ouverts, accessoires fixation plots.</t>
  </si>
  <si>
    <t>03A.4.02</t>
  </si>
  <si>
    <t>Plots réglables BUZON (inclus dans 03A.4.01 — poste de vérification)</t>
  </si>
  <si>
    <t>03A.4.03</t>
  </si>
  <si>
    <t>Bandes anti-déversement (bordures périphériques terrasses)</t>
  </si>
  <si>
    <t>Sous-total 4 — Terrasses Libre HT</t>
  </si>
  <si>
    <t>SOUS-LOT 03B — SEGMENT SOCIAL / ABORDABLE (26 logements sociaux + 13 logements abordables + PC)</t>
  </si>
  <si>
    <t>5. REVÊTEMENTS DE SOLS — PIÈCES SÈCHES</t>
  </si>
  <si>
    <t>03B.5.01</t>
  </si>
  <si>
    <t>Fourniture et pose grès cérame émaillé 60×60 mm finition mate (ref. Porcelanosa Urbatek, Marazzi, Novoceram ou Ceramiche Keope). Budget max 25 €/m² fourniture. Pose collée, joints ciment gris standard. Inclus : préparation support, plinthes carrelage assorties h=8 cm.</t>
  </si>
  <si>
    <t>03B.5.02</t>
  </si>
  <si>
    <t>Plinthes carrelage assorties OU plinthes PVC peintes 60 mm (au choix selon résultat économique)</t>
  </si>
  <si>
    <t>Sous-total 5 — Sols secs Social/Abordable HT</t>
  </si>
  <si>
    <t>6. REVÊTEMENTS DE SOLS — PIÈCES HUMIDES</t>
  </si>
  <si>
    <t>03B.6.01</t>
  </si>
  <si>
    <t>Fourniture et pose grès cérame P3 antidérapant 60×60 mm finition mate (pièces humides). Budget max 22 €/m² fourniture. Pose collée, joints ciment gris.</t>
  </si>
  <si>
    <t>03B.6.02</t>
  </si>
  <si>
    <t>Douche italienne / PMR seuil 0 mm, grès cérame R11. Inclus : étanchéité SPEC, caniveau inox standard.</t>
  </si>
  <si>
    <t>Sous-total 6 — Sols humides Social/Abordable HT</t>
  </si>
  <si>
    <t>7. REVÊTEMENTS MURAUX — FAÏENCE</t>
  </si>
  <si>
    <t>03B.7.01</t>
  </si>
  <si>
    <t>Fourniture et pose faïence murale 20×30 mm (ref. standard). Budget max 22 €/m² fourniture. Pose collée, joints ciment gris. Inclus : profilés plastique finition angles.</t>
  </si>
  <si>
    <t>Sous-total 7 — Faïence Social/Abordable HT</t>
  </si>
  <si>
    <t>8. TERRASSES PRIVATIVES — SEGMENT SOCIAL / ABORDABLE</t>
  </si>
  <si>
    <t>03B.8.01</t>
  </si>
  <si>
    <t>Fourniture et pose grès cérame imitation travertin R11 60×60 mm (antidérapant). Budget max 28 €/m² fourniture. Pose sur chape ou plots standard.</t>
  </si>
  <si>
    <t>Sous-total 8 — Terrasses Social/Abordable HT</t>
  </si>
  <si>
    <t>9. PARTIES COMMUNES — HALLS, COULOIRS, CIRCULATIONS (Tous segments)</t>
  </si>
  <si>
    <t>03C.9.01</t>
  </si>
  <si>
    <t>Fourniture et pose grès cérame format 60×60 mm finition mate — halls et circulations. Joints époxy. Inclus : seuils, nez de marches, décrochements.</t>
  </si>
  <si>
    <t>03C.9.02</t>
  </si>
  <si>
    <t>Revêtement escaliers béton : grès cérame marches et contremarches format adapté, nez de marche inox antidérapant.</t>
  </si>
  <si>
    <t>03C.9.03</t>
  </si>
  <si>
    <t>Plinthes parties communes, carrelage assorti</t>
  </si>
  <si>
    <t>Sous-total 9 — Parties communes HT</t>
  </si>
  <si>
    <t>10. INSTALLATION DE CHANTIER &amp; PRESTATIONS GÉNÉRALES LOT 03</t>
  </si>
  <si>
    <t>03.10.01</t>
  </si>
  <si>
    <t>Installation et repliement de chantier Lot 03 (protection ouvrages existants, bâche, local matériaux, nettoyage fin de chantier)</t>
  </si>
  <si>
    <t>ft</t>
  </si>
  <si>
    <t>03.10.02</t>
  </si>
  <si>
    <t>Plans de calepinage soumis à validation architecte avant travaux</t>
  </si>
  <si>
    <t>03.10.03</t>
  </si>
  <si>
    <t>Essais et contrôles : planéité support (règle de 2m), adhérence carrelage (test à la bille), PV résultats</t>
  </si>
  <si>
    <t>03.10.04</t>
  </si>
  <si>
    <t>DOE (Dossier des Ouvrages Exécutés) — fiches techniques, PV essais, plans conformes à exécution</t>
  </si>
  <si>
    <t>Sous-total 10 — Installation &amp; prestations générales HT</t>
  </si>
  <si>
    <t>TOTAL GÉNÉRAL LOT 03 — MONTANT GLOBAL FORFAITAIRE HT</t>
  </si>
  <si>
    <t>⚠  Ce montant total constitue le PRIX GLOBAL ET FORFAITAIRE du marché. L'entreprise assume le risque quantitatif. Toute modification de programme donne lieu à avenant signé. Les quantités indiquées sont fournies à titre indicatif par l'économiste.</t>
  </si>
  <si>
    <t>RÉSIDENCE MUSKA — FRONTIGNAN (34110)
BORDEREAU DES PRIX UNITAIRES (BPU)
LOT 03 — CARRELAGE / REVÊTEMENTS DE SOLS ET MURS</t>
  </si>
  <si>
    <t>Le BPU liste tous les prix unitaires applicables au marché SANS quantités. Il est rempli par l'entreprise, négocié, puis devient contractuel. Il servira à chiffrer les travaux supplémentaires (TS), TMA acquéreurs et avenants.</t>
  </si>
  <si>
    <t xml:space="preserve">  Prix unitaire à saisir par l'entreprise (bleu)</t>
  </si>
  <si>
    <t xml:space="preserve">  Fourniture + pose inclus sauf mention contraire</t>
  </si>
  <si>
    <t>N° Prix</t>
  </si>
  <si>
    <t>Désignation de la prestation</t>
  </si>
  <si>
    <t>Prix unitaire HT (€)
[à saisir par l'entreprise]</t>
  </si>
  <si>
    <t>Observations</t>
  </si>
  <si>
    <t>SECTION A — SOLS SEGMENT LIBRE</t>
  </si>
  <si>
    <t>P.03A.01</t>
  </si>
  <si>
    <t>Grès cérame imitation travertin 120×120 soie/lappato — fourniture + pose + joints époxy</t>
  </si>
  <si>
    <t>Marques ref : Atlas Concorde, Marazzi</t>
  </si>
  <si>
    <t>P.03A.02</t>
  </si>
  <si>
    <t>Plus-value pose en diagonale / motif décalé</t>
  </si>
  <si>
    <t>P.03A.03</t>
  </si>
  <si>
    <t>Parquet contrecollé chêne 14/3 vernis mat — fourniture + pose flottante + sous-couche</t>
  </si>
  <si>
    <t>BOEN, PANAGET — option CDC</t>
  </si>
  <si>
    <t>P.03A.04</t>
  </si>
  <si>
    <t>Plinthe laquée blanc haute brillance h=10 cm — fourniture + pose</t>
  </si>
  <si>
    <t>P.03A.05</t>
  </si>
  <si>
    <t>Grès cérame 60×60 mat pièces humides R9 — fourniture + pose + joints époxy</t>
  </si>
  <si>
    <t>P.03A.06</t>
  </si>
  <si>
    <t>Receveur douche italienne / PMR seuil 0mm, grès R11 — inclus SPEC + caniveau inox</t>
  </si>
  <si>
    <t>P.03A.07</t>
  </si>
  <si>
    <t>Bande d'étanchéité périphérique sol/mur</t>
  </si>
  <si>
    <t>P.03A.08</t>
  </si>
  <si>
    <t>Faïence murale brillante 7,5×30 — fourniture + pose + joints époxy</t>
  </si>
  <si>
    <t>Prestige — choix architecte</t>
  </si>
  <si>
    <t>P.03A.09</t>
  </si>
  <si>
    <t>Profilé finition angle inox/aluminium — fourniture + pose</t>
  </si>
  <si>
    <t>P.03A.10</t>
  </si>
  <si>
    <t>Niche carrelée encastrée SDB — fourniture + pose</t>
  </si>
  <si>
    <t>P.03A.11</t>
  </si>
  <si>
    <t>Pierre travertin véritable 60×60 ép.20mm terrasses — fourniture + pose sur plots BUZON</t>
  </si>
  <si>
    <t>Ref : ANJOU Travertin</t>
  </si>
  <si>
    <t>P.03A.12</t>
  </si>
  <si>
    <t>Plot réglable BUZON — fourniture + pose</t>
  </si>
  <si>
    <t>SECTION B — SOLS SEGMENT SOCIAL / ABORDABLE</t>
  </si>
  <si>
    <t>P.03B.01</t>
  </si>
  <si>
    <t>Grès cérame émaillé 60×60 mat pièces sèches — fourniture + pose + joints ciment gris</t>
  </si>
  <si>
    <t>Budget max 25€/m² fourni</t>
  </si>
  <si>
    <t>P.03B.02</t>
  </si>
  <si>
    <t>Grès cérame P3 antidérapant 60×60 pièces humides — fourniture + pose</t>
  </si>
  <si>
    <t>Budget max 22€/m² fourni</t>
  </si>
  <si>
    <t>P.03B.03</t>
  </si>
  <si>
    <t>Plinthe carrelage assortie OU PVC 60mm peinte — fourniture + pose</t>
  </si>
  <si>
    <t>P.03B.04</t>
  </si>
  <si>
    <t>Douche italienne / PMR seuil 0mm grès R11 — inclus SPEC + caniveau inox standard</t>
  </si>
  <si>
    <t>P.03B.05</t>
  </si>
  <si>
    <t>Faïence murale 20×30 mm — fourniture + pose + joints ciment</t>
  </si>
  <si>
    <t>P.03B.06</t>
  </si>
  <si>
    <t>Grès cérame imitation travertin R11 60×60 terrasses — fourniture + pose sur plots std</t>
  </si>
  <si>
    <t>Budget max 28€/m² fourni</t>
  </si>
  <si>
    <t>SECTION C — PARTIES COMMUNES &amp; PRESTATIONS GÉNÉRALES</t>
  </si>
  <si>
    <t>P.03C.01</t>
  </si>
  <si>
    <t>Grès cérame 60×60 mat parties communes halls/couloirs — fourniture + pose + joints époxy</t>
  </si>
  <si>
    <t>P.03C.02</t>
  </si>
  <si>
    <t>Grès cérame marches escaliers + contremarches — fourniture + pose</t>
  </si>
  <si>
    <t>P.03C.03</t>
  </si>
  <si>
    <t>Nez de marche inox antidérapant — fourniture + pose</t>
  </si>
  <si>
    <t>P.03C.04</t>
  </si>
  <si>
    <t>Plinthe carrelage parties communes assortie</t>
  </si>
  <si>
    <t>P.03C.05</t>
  </si>
  <si>
    <t>Ragréage autolissant e=5mm (reprise support avant pose)</t>
  </si>
  <si>
    <t>P.03C.06</t>
  </si>
  <si>
    <t>Réfection découpe pour passage gaines ou réservation (après GO)</t>
  </si>
  <si>
    <t>P.03C.07</t>
  </si>
  <si>
    <t>Dépose et repose carrelage existant (éventuel TMA / TS)</t>
  </si>
  <si>
    <t>P.03C.08</t>
  </si>
  <si>
    <t>Installation de chantier (base, protection, nettoyage)</t>
  </si>
  <si>
    <t>P.03C.09</t>
  </si>
  <si>
    <t>Plans de calepinage + DOE</t>
  </si>
  <si>
    <t>⚠  Le BPU est contractuel une fois signé. Chaque prix unitaire doit inclure : fourniture + pose sauf mention 'fourniture seule' ou 'pose seule'. Un BPU incomplet ou mal calibré est source de litiges (cf. cours Bachelor PI).</t>
  </si>
  <si>
    <t>RÉSIDENCE MUSKA — FRONTIGNAN (34110)
DÉTAIL QUANTITATIF ESTIMATIF (DQE)
LOT 03 — CARRELAGE / REVÊTEMENTS DE SOLS ET MURS</t>
  </si>
  <si>
    <t>SCCV Muska / TerraOccitana SAS  —  Économiste : À compléter  —  Base plans PRO B2BA — Avril 2026</t>
  </si>
  <si>
    <t>IMPORTANT — Statut du DQE : Les quantités sont INDICATIVES et fournies par l'économiste sur base des plans PRO. Elles permettent la comparaison homogène des offres. Le DQE est généralement NON contractuel. Le règlement final s'effectue sur la base de la DPGF (prix forfaitaire ferme).</t>
  </si>
  <si>
    <t>Désignation</t>
  </si>
  <si>
    <t>Quantité estimée</t>
  </si>
  <si>
    <t>Prix unitaire HT (€)
[BPU entreprise]</t>
  </si>
  <si>
    <t>Montant estimatif HT (€)</t>
  </si>
  <si>
    <t>Montant TTC estimatif (€)</t>
  </si>
  <si>
    <t>SEGMENT LIBRE — Revêtements de sols et murs</t>
  </si>
  <si>
    <t>Grès cérame travertin 120×120 soie/lappato — pose sur chape + joints époxy</t>
  </si>
  <si>
    <t>Parquet contrecollé chêne 14/3 vernis mat (option)</t>
  </si>
  <si>
    <t>Plinthes laquées blanc haute brillance</t>
  </si>
  <si>
    <t>Grès cérame 60×60 mat pièces humides</t>
  </si>
  <si>
    <t>Receveur douche italienne/PMR seuil 0mm</t>
  </si>
  <si>
    <t>Faïence murale brillante 7,5×30</t>
  </si>
  <si>
    <t>Pierre travertin véritable 60×60 ép.20mm terrasses sur plots BUZON</t>
  </si>
  <si>
    <t>Sous-total estimatif Segment Libre HT</t>
  </si>
  <si>
    <t>SEGMENT SOCIAL / ABORDABLE — Revêtements de sols et murs</t>
  </si>
  <si>
    <t>Grès cérame émaillé 60×60 mat pièces sèches (budget ≤25€/m²)</t>
  </si>
  <si>
    <t>Plinthes carrelage assorties ou PVC 60mm</t>
  </si>
  <si>
    <t>Grès cérame P3 antidérapant 60×60 pièces humides (budget ≤22€/m²)</t>
  </si>
  <si>
    <t>Douche italienne/PMR seuil 0mm grès R11</t>
  </si>
  <si>
    <t>Faïence murale 20×30 mm (budget ≤22€/m²)</t>
  </si>
  <si>
    <t>Grès cérame imit. travertin R11 60×60 terrasses (budget ≤28€/m²)</t>
  </si>
  <si>
    <t>Sous-total estimatif Segment Social/Abordable HT</t>
  </si>
  <si>
    <t>PARTIES COMMUNES &amp; PRESTATIONS GÉNÉRALES</t>
  </si>
  <si>
    <t>Grès cérame 60×60 mat halls/couloirs parties communes</t>
  </si>
  <si>
    <t>Grès cérame escaliers marches + contremarches</t>
  </si>
  <si>
    <t>Plinthes PC carrelage assortie</t>
  </si>
  <si>
    <t>Installation chantier / DOE / Plans calepinage</t>
  </si>
  <si>
    <t>Sous-total estimatif Parties communes &amp; général HT</t>
  </si>
  <si>
    <t>Aléas / Imprévus (5 % du total HT estimatif — à titre indicatif)</t>
  </si>
  <si>
    <t>TOTAL ESTIMATIF LOT 03 (aléas inclus)</t>
  </si>
  <si>
    <t>RAPPEL — Statut contractuel : Le DQE est un outil de COMPARAISON des offres. Les quantités estimées permettent d'analyser les offres sur une base homogène (toutes les entreprises consultées reçoivent le même DQE). Le DQE est généralement NON contractuel — le règlement s'effectue sur la DPGF (prix forfaitaire). Source : Cours Bachelor PI — L'Appel d'Offres en Promotion Immobilière.</t>
  </si>
  <si>
    <t>RÉCAPITULATIF GÉNÉRAL — LOT 03 — CARRELAGE / REVÊTEMENTS
Résidence Muska — SCCV Muska — Frontignan (34110) — Avril 2026</t>
  </si>
  <si>
    <t>Ce récapitulatif consolide les 3 documents : DPGF (prix forfaitaire contractuel) | BPU (prix unitaires pour TS) | DQE (estimatif de comparaison)</t>
  </si>
  <si>
    <t>Document</t>
  </si>
  <si>
    <t>Statut contractuel</t>
  </si>
  <si>
    <t>Usage principal</t>
  </si>
  <si>
    <t>Rempli par</t>
  </si>
  <si>
    <t>Règlement</t>
  </si>
  <si>
    <t>DPGF — Décomposition Prix Global et Forfaitaire</t>
  </si>
  <si>
    <t>OUI — Contractuel</t>
  </si>
  <si>
    <t>Fixation du prix ferme et définitif du marché</t>
  </si>
  <si>
    <t>L'entreprise (offre)</t>
  </si>
  <si>
    <t>Montant ferme — risque quantitatif porté par l'entreprise</t>
  </si>
  <si>
    <t>BPU — Bordereau des Prix Unitaires</t>
  </si>
  <si>
    <t>Chiffrage travaux supplémentaires, TMA, avenants</t>
  </si>
  <si>
    <t>Sur quantités réelles × PU du BPU</t>
  </si>
  <si>
    <t>DQE — Détail Quantitatif Estimatif</t>
  </si>
  <si>
    <t>NON — Indicatif</t>
  </si>
  <si>
    <t>Comparaison homogène des offres reçues</t>
  </si>
  <si>
    <t>L'économiste (base de consultation)</t>
  </si>
  <si>
    <t>Outil d'analyse — non utilisé pour règlement</t>
  </si>
  <si>
    <t>DÉCOMPOSITION DU LOT 03 PAR SEGMENT</t>
  </si>
  <si>
    <t>Segment</t>
  </si>
  <si>
    <t>Logements</t>
  </si>
  <si>
    <t>TVA applicable</t>
  </si>
  <si>
    <t>Quantités indicatives sols (m²)</t>
  </si>
  <si>
    <t>Remarque</t>
  </si>
  <si>
    <t>Lot 03A — Segment Libre</t>
  </si>
  <si>
    <t>30 logements</t>
  </si>
  <si>
    <t>20 %</t>
  </si>
  <si>
    <t>~600 m² (sols + terrasses)</t>
  </si>
  <si>
    <t>Grès travertin 120×120 + travertin pierre terrasses</t>
  </si>
  <si>
    <t>Lot 03B — Segment Social (Hérault Habitat)</t>
  </si>
  <si>
    <t>26 logements sociaux</t>
  </si>
  <si>
    <t>10 %</t>
  </si>
  <si>
    <t>~450 m² (sols + terrasses)</t>
  </si>
  <si>
    <t>Grès émaillé 60×60 ≤25€/m²</t>
  </si>
  <si>
    <t>Lot 03B — Segment Abordable (PSLA/BRS)</t>
  </si>
  <si>
    <t>13 logements</t>
  </si>
  <si>
    <t>~250 m² (sols + terrasses)</t>
  </si>
  <si>
    <t>Parties communes</t>
  </si>
  <si>
    <t>Halls, circulations, escaliers</t>
  </si>
  <si>
    <t>~600 m²</t>
  </si>
  <si>
    <t>Grès 60×60 mat + nez de marche inox</t>
  </si>
  <si>
    <t>⚠  RÈGLE ESSENTIELLE (cours Bachelor PI) : La combinaison DPGF + BPU est la plus fréquente en promotion privée. La DPGF sécurise le bilan de l'opération (prix ferme). Le BPU permet de chiffrer les travaux supplémentaires sans litige. Un BPU incomplet = source de conflits en cours de chantier.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</si>
</sst>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quot; €&quot;"/>
    <numFmt numFmtId="165" formatCode="0.0%"/>
  </numFmts>
  <fonts count="15">
    <font>
      <sz val="11.0"/>
      <color theme="1"/>
      <name val="Calibri"/>
      <scheme val="minor"/>
    </font>
    <font>
      <b/>
      <sz val="12.0"/>
      <color rgb="FFFFFFFF"/>
      <name val="Arial"/>
    </font>
    <font/>
    <font>
      <b/>
      <sz val="11.0"/>
      <color rgb="FFFFFFFF"/>
      <name val="Arial"/>
    </font>
    <font>
      <b/>
      <sz val="10.0"/>
      <color rgb="FF1F3864"/>
      <name val="Arial"/>
    </font>
    <font>
      <sz val="10.0"/>
      <color rgb="FF0000FF"/>
      <name val="Arial"/>
    </font>
    <font>
      <b/>
      <sz val="9.0"/>
      <color theme="1"/>
      <name val="Arial"/>
    </font>
    <font>
      <sz val="9.0"/>
      <color rgb="FF000000"/>
      <name val="Arial"/>
    </font>
    <font>
      <sz val="11.0"/>
      <color theme="1"/>
      <name val="Calibri"/>
    </font>
    <font>
      <b/>
      <sz val="10.0"/>
      <color rgb="FFFFFFFF"/>
      <name val="Arial"/>
    </font>
    <font>
      <sz val="10.0"/>
      <color rgb="FF000000"/>
      <name val="Arial"/>
    </font>
    <font>
      <b/>
      <sz val="10.0"/>
      <color rgb="FF000000"/>
      <name val="Arial"/>
    </font>
    <font>
      <i/>
      <sz val="9.0"/>
      <color rgb="FF1F3864"/>
      <name val="Arial"/>
    </font>
    <font>
      <b/>
      <sz val="10.0"/>
      <color rgb="FF856404"/>
      <name val="Arial"/>
    </font>
    <font>
      <b/>
      <i/>
      <sz val="9.0"/>
      <color rgb="FF856404"/>
      <name val="Arial"/>
    </font>
  </fonts>
  <fills count="11">
    <fill>
      <patternFill patternType="none"/>
    </fill>
    <fill>
      <patternFill patternType="lightGray"/>
    </fill>
    <fill>
      <patternFill patternType="solid">
        <fgColor rgb="FF1F3864"/>
        <bgColor rgb="FF1F3864"/>
      </patternFill>
    </fill>
    <fill>
      <patternFill patternType="solid">
        <fgColor rgb="FF2E5FA3"/>
        <bgColor rgb="FF2E5FA3"/>
      </patternFill>
    </fill>
    <fill>
      <patternFill patternType="solid">
        <fgColor rgb="FFD6E4F0"/>
        <bgColor rgb="FFD6E4F0"/>
      </patternFill>
    </fill>
    <fill>
      <patternFill patternType="solid">
        <fgColor rgb="FFFFF2CC"/>
        <bgColor rgb="FFFFF2CC"/>
      </patternFill>
    </fill>
    <fill>
      <patternFill patternType="solid">
        <fgColor rgb="FFFFFFFF"/>
        <bgColor rgb="FFFFFFFF"/>
      </patternFill>
    </fill>
    <fill>
      <patternFill patternType="solid">
        <fgColor rgb="FFE2EFDA"/>
        <bgColor rgb="FFE2EFDA"/>
      </patternFill>
    </fill>
    <fill>
      <patternFill patternType="solid">
        <fgColor rgb="FFFCE4D6"/>
        <bgColor rgb="FFFCE4D6"/>
      </patternFill>
    </fill>
    <fill>
      <patternFill patternType="solid">
        <fgColor rgb="FFF2F2F2"/>
        <bgColor rgb="FFF2F2F2"/>
      </patternFill>
    </fill>
    <fill>
      <patternFill patternType="solid">
        <fgColor rgb="FFFFF3CD"/>
        <bgColor rgb="FFFFF3CD"/>
      </patternFill>
    </fill>
  </fills>
  <borders count="12">
    <border/>
    <border>
      <left/>
      <top/>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top style="thin">
        <color rgb="FFAAAAAA"/>
      </top>
      <bottom style="thin">
        <color rgb="FFAAAAAA"/>
      </bottom>
    </border>
    <border>
      <left style="thin">
        <color rgb="FFAAAAAA"/>
      </left>
      <right style="thin">
        <color rgb="FFAAAAAA"/>
      </right>
      <top style="thin">
        <color rgb="FFAAAAAA"/>
      </top>
      <bottom style="thin">
        <color rgb="FFAAAAAA"/>
      </bottom>
    </border>
    <border>
      <left style="medium">
        <color rgb="FF1F3864"/>
      </left>
      <top style="medium">
        <color rgb="FF1F3864"/>
      </top>
      <bottom style="medium">
        <color rgb="FF1F3864"/>
      </bottom>
    </border>
    <border>
      <top style="medium">
        <color rgb="FF1F3864"/>
      </top>
      <bottom style="medium">
        <color rgb="FF1F3864"/>
      </bottom>
    </border>
    <border>
      <right/>
      <top style="medium">
        <color rgb="FF1F3864"/>
      </top>
      <bottom style="medium">
        <color rgb="FF1F3864"/>
      </bottom>
    </border>
    <border>
      <left style="medium">
        <color rgb="FF1F3864"/>
      </left>
      <right style="medium">
        <color rgb="FF1F3864"/>
      </right>
      <top style="medium">
        <color rgb="FF1F3864"/>
      </top>
      <bottom style="medium">
        <color rgb="FF1F3864"/>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4" fillId="4" fontId="4" numFmtId="0" xfId="0" applyAlignment="1" applyBorder="1" applyFill="1" applyFont="1">
      <alignment horizontal="left" shrinkToFit="0" vertical="center" wrapText="1"/>
    </xf>
    <xf borderId="5" fillId="0" fontId="2" numFmtId="0" xfId="0" applyBorder="1" applyFont="1"/>
    <xf borderId="6" fillId="0" fontId="2" numFmtId="0" xfId="0" applyBorder="1" applyFont="1"/>
    <xf borderId="4" fillId="5" fontId="5" numFmtId="0" xfId="0" applyAlignment="1" applyBorder="1" applyFill="1" applyFont="1">
      <alignment horizontal="right" shrinkToFit="0" vertical="center" wrapText="0"/>
    </xf>
    <xf borderId="1" fillId="6" fontId="6" numFmtId="0" xfId="0" applyAlignment="1" applyBorder="1" applyFill="1" applyFont="1">
      <alignment horizontal="left" shrinkToFit="0" vertical="center" wrapText="0"/>
    </xf>
    <xf borderId="7" fillId="5" fontId="7" numFmtId="0" xfId="0" applyAlignment="1" applyBorder="1" applyFont="1">
      <alignment horizontal="left" shrinkToFit="0" vertical="center" wrapText="0"/>
    </xf>
    <xf borderId="7" fillId="6" fontId="8" numFmtId="0" xfId="0" applyAlignment="1" applyBorder="1" applyFont="1">
      <alignment shrinkToFit="0" vertical="bottom" wrapText="0"/>
    </xf>
    <xf borderId="7" fillId="7" fontId="7" numFmtId="0" xfId="0" applyAlignment="1" applyBorder="1" applyFill="1" applyFont="1">
      <alignment horizontal="left" shrinkToFit="0" vertical="center" wrapText="0"/>
    </xf>
    <xf borderId="7" fillId="8" fontId="7" numFmtId="0" xfId="0" applyAlignment="1" applyBorder="1" applyFill="1" applyFont="1">
      <alignment horizontal="left" shrinkToFit="0" vertical="center" wrapText="0"/>
    </xf>
    <xf borderId="7" fillId="4" fontId="7" numFmtId="0" xfId="0" applyAlignment="1" applyBorder="1" applyFont="1">
      <alignment horizontal="left" shrinkToFit="0" vertical="center" wrapText="0"/>
    </xf>
    <xf borderId="7" fillId="2" fontId="9" numFmtId="0" xfId="0" applyAlignment="1" applyBorder="1" applyFont="1">
      <alignment horizontal="center" shrinkToFit="0" vertical="center" wrapText="1"/>
    </xf>
    <xf borderId="7" fillId="6" fontId="10" numFmtId="0" xfId="0" applyAlignment="1" applyBorder="1" applyFont="1">
      <alignment horizontal="center" shrinkToFit="0" vertical="center" wrapText="1"/>
    </xf>
    <xf borderId="7" fillId="6" fontId="10" numFmtId="0" xfId="0" applyAlignment="1" applyBorder="1" applyFont="1">
      <alignment horizontal="left" shrinkToFit="0" vertical="center" wrapText="1"/>
    </xf>
    <xf borderId="7" fillId="6" fontId="10" numFmtId="4" xfId="0" applyAlignment="1" applyBorder="1" applyFont="1" applyNumberFormat="1">
      <alignment horizontal="center" shrinkToFit="0" vertical="center" wrapText="1"/>
    </xf>
    <xf borderId="7" fillId="5" fontId="5" numFmtId="164" xfId="0" applyAlignment="1" applyBorder="1" applyFont="1" applyNumberFormat="1">
      <alignment horizontal="right" shrinkToFit="0" vertical="center" wrapText="0"/>
    </xf>
    <xf borderId="7" fillId="7" fontId="10" numFmtId="164" xfId="0" applyAlignment="1" applyBorder="1" applyFont="1" applyNumberFormat="1">
      <alignment horizontal="right" shrinkToFit="0" vertical="center" wrapText="0"/>
    </xf>
    <xf borderId="7" fillId="6" fontId="10" numFmtId="165" xfId="0" applyAlignment="1" applyBorder="1" applyFont="1" applyNumberFormat="1">
      <alignment horizontal="center" shrinkToFit="0" vertical="center" wrapText="1"/>
    </xf>
    <xf borderId="8" fillId="8" fontId="11" numFmtId="0" xfId="0" applyAlignment="1" applyBorder="1" applyFont="1">
      <alignment horizontal="left" shrinkToFit="0" vertical="center" wrapText="0"/>
    </xf>
    <xf borderId="9" fillId="0" fontId="2" numFmtId="0" xfId="0" applyBorder="1" applyFont="1"/>
    <xf borderId="10" fillId="0" fontId="2" numFmtId="0" xfId="0" applyBorder="1" applyFont="1"/>
    <xf borderId="11" fillId="8" fontId="11" numFmtId="164" xfId="0" applyAlignment="1" applyBorder="1" applyFont="1" applyNumberFormat="1">
      <alignment horizontal="right" shrinkToFit="0" vertical="center" wrapText="0"/>
    </xf>
    <xf borderId="11" fillId="8" fontId="11" numFmtId="0" xfId="0" applyAlignment="1" applyBorder="1" applyFont="1">
      <alignment horizontal="right" shrinkToFit="0" vertical="center" wrapText="0"/>
    </xf>
    <xf borderId="8" fillId="2" fontId="3" numFmtId="0" xfId="0" applyAlignment="1" applyBorder="1" applyFont="1">
      <alignment horizontal="left" shrinkToFit="0" vertical="center" wrapText="0"/>
    </xf>
    <xf borderId="11" fillId="2" fontId="3" numFmtId="164" xfId="0" applyAlignment="1" applyBorder="1" applyFont="1" applyNumberFormat="1">
      <alignment shrinkToFit="0" vertical="bottom" wrapText="0"/>
    </xf>
    <xf borderId="11" fillId="2" fontId="8" numFmtId="0" xfId="0" applyAlignment="1" applyBorder="1" applyFont="1">
      <alignment shrinkToFit="0" vertical="bottom" wrapText="0"/>
    </xf>
    <xf borderId="1" fillId="4" fontId="12" numFmtId="0" xfId="0" applyAlignment="1" applyBorder="1" applyFont="1">
      <alignment horizontal="left" shrinkToFit="0" vertical="center" wrapText="1"/>
    </xf>
    <xf borderId="7" fillId="9" fontId="7" numFmtId="0" xfId="0" applyAlignment="1" applyBorder="1" applyFill="1" applyFont="1">
      <alignment horizontal="left" shrinkToFit="0" vertical="center" wrapText="0"/>
    </xf>
    <xf borderId="7" fillId="9" fontId="10" numFmtId="0" xfId="0" applyAlignment="1" applyBorder="1" applyFont="1">
      <alignment horizontal="left" shrinkToFit="0" vertical="center" wrapText="1"/>
    </xf>
    <xf borderId="11" fillId="8" fontId="8" numFmtId="0" xfId="0" applyAlignment="1" applyBorder="1" applyFont="1">
      <alignment shrinkToFit="0" vertical="bottom" wrapText="0"/>
    </xf>
    <xf borderId="4" fillId="10" fontId="13" numFmtId="0" xfId="0" applyAlignment="1" applyBorder="1" applyFill="1" applyFont="1">
      <alignment horizontal="left" shrinkToFit="0" vertical="center" wrapText="1"/>
    </xf>
    <xf borderId="4" fillId="2" fontId="9" numFmtId="0" xfId="0" applyAlignment="1" applyBorder="1" applyFont="1">
      <alignment horizontal="left" shrinkToFit="0" vertical="center" wrapText="1"/>
    </xf>
    <xf borderId="7" fillId="3" fontId="9" numFmtId="0" xfId="0" applyAlignment="1" applyBorder="1" applyFont="1">
      <alignment horizontal="center" shrinkToFit="0" vertical="center" wrapText="1"/>
    </xf>
    <xf borderId="1" fillId="10" fontId="1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10.0"/>
    <col customWidth="1" min="2" max="2" width="52.0"/>
    <col customWidth="1" min="3" max="3" width="9.0"/>
    <col customWidth="1" min="4" max="4" width="14.0"/>
    <col customWidth="1" min="5" max="5" width="18.0"/>
    <col customWidth="1" min="6" max="6" width="22.0"/>
    <col customWidth="1" min="7" max="7" width="10.0"/>
    <col customWidth="1" min="8" max="8" width="18.0"/>
    <col customWidth="1" min="9" max="26" width="8.71"/>
  </cols>
  <sheetData>
    <row r="1" ht="45.0" customHeight="1">
      <c r="A1" s="1" t="s">
        <v>0</v>
      </c>
      <c r="B1" s="2"/>
      <c r="C1" s="2"/>
      <c r="D1" s="2"/>
      <c r="E1" s="2"/>
      <c r="F1" s="2"/>
      <c r="G1" s="2"/>
      <c r="H1" s="3"/>
    </row>
    <row r="2" ht="30.0" customHeight="1">
      <c r="A2" s="4" t="s">
        <v>1</v>
      </c>
      <c r="B2" s="2"/>
      <c r="C2" s="2"/>
      <c r="D2" s="2"/>
      <c r="E2" s="2"/>
      <c r="F2" s="2"/>
      <c r="G2" s="2"/>
      <c r="H2" s="3"/>
    </row>
    <row r="3" ht="21.75" customHeight="1">
      <c r="A3" s="5" t="s">
        <v>2</v>
      </c>
      <c r="B3" s="6"/>
      <c r="C3" s="6"/>
      <c r="D3" s="7"/>
      <c r="E3" s="8"/>
      <c r="F3" s="6"/>
      <c r="G3" s="6"/>
      <c r="H3" s="7"/>
    </row>
    <row r="4" ht="21.75" customHeight="1">
      <c r="A4" s="5" t="s">
        <v>3</v>
      </c>
      <c r="B4" s="6"/>
      <c r="C4" s="6"/>
      <c r="D4" s="7"/>
      <c r="E4" s="8"/>
      <c r="F4" s="6"/>
      <c r="G4" s="6"/>
      <c r="H4" s="7"/>
    </row>
    <row r="5" ht="18.0" customHeight="1">
      <c r="A5" s="9" t="s">
        <v>4</v>
      </c>
      <c r="B5" s="2"/>
      <c r="C5" s="2"/>
      <c r="D5" s="2"/>
      <c r="E5" s="2"/>
      <c r="F5" s="2"/>
      <c r="G5" s="2"/>
      <c r="H5" s="3"/>
    </row>
    <row r="6" ht="18.0" customHeight="1">
      <c r="A6" s="10" t="s">
        <v>5</v>
      </c>
      <c r="B6" s="11"/>
      <c r="C6" s="12" t="s">
        <v>6</v>
      </c>
      <c r="D6" s="11"/>
      <c r="E6" s="13" t="s">
        <v>7</v>
      </c>
      <c r="F6" s="11"/>
      <c r="G6" s="14" t="s">
        <v>8</v>
      </c>
      <c r="H6" s="11"/>
    </row>
    <row r="7" ht="45.0" customHeight="1">
      <c r="A7" s="15" t="s">
        <v>9</v>
      </c>
      <c r="B7" s="15" t="s">
        <v>10</v>
      </c>
      <c r="C7" s="15" t="s">
        <v>11</v>
      </c>
      <c r="D7" s="15" t="s">
        <v>12</v>
      </c>
      <c r="E7" s="15" t="s">
        <v>13</v>
      </c>
      <c r="F7" s="15" t="s">
        <v>14</v>
      </c>
      <c r="G7" s="15" t="s">
        <v>15</v>
      </c>
      <c r="H7" s="15" t="s">
        <v>16</v>
      </c>
    </row>
    <row r="8" ht="19.5" customHeight="1">
      <c r="A8" s="5" t="s">
        <v>17</v>
      </c>
      <c r="B8" s="6"/>
      <c r="C8" s="6"/>
      <c r="D8" s="6"/>
      <c r="E8" s="6"/>
      <c r="F8" s="6"/>
      <c r="G8" s="6"/>
      <c r="H8" s="7"/>
    </row>
    <row r="9" ht="19.5" customHeight="1">
      <c r="A9" s="5" t="s">
        <v>18</v>
      </c>
      <c r="B9" s="6"/>
      <c r="C9" s="6"/>
      <c r="D9" s="6"/>
      <c r="E9" s="6"/>
      <c r="F9" s="6"/>
      <c r="G9" s="6"/>
      <c r="H9" s="7"/>
    </row>
    <row r="10" ht="27.75" customHeight="1">
      <c r="A10" s="16" t="s">
        <v>19</v>
      </c>
      <c r="B10" s="17" t="s">
        <v>20</v>
      </c>
      <c r="C10" s="16" t="s">
        <v>21</v>
      </c>
      <c r="D10" s="18">
        <v>420.0</v>
      </c>
      <c r="E10" s="19"/>
      <c r="F10" s="20" t="str">
        <f t="shared" ref="F10:F13" si="1">IF(E10&lt;&gt;"",E10*D10,"")</f>
        <v/>
      </c>
      <c r="G10" s="21">
        <v>0.2</v>
      </c>
      <c r="H10" s="20" t="str">
        <f t="shared" ref="H10:H13" si="2">IF(F10&lt;&gt;"",F10*(1+G10),"")</f>
        <v/>
      </c>
    </row>
    <row r="11" ht="27.75" customHeight="1">
      <c r="A11" s="16" t="s">
        <v>22</v>
      </c>
      <c r="B11" s="17" t="s">
        <v>23</v>
      </c>
      <c r="C11" s="16" t="s">
        <v>21</v>
      </c>
      <c r="D11" s="18">
        <v>80.0</v>
      </c>
      <c r="E11" s="19"/>
      <c r="F11" s="20" t="str">
        <f t="shared" si="1"/>
        <v/>
      </c>
      <c r="G11" s="21">
        <v>0.2</v>
      </c>
      <c r="H11" s="20" t="str">
        <f t="shared" si="2"/>
        <v/>
      </c>
    </row>
    <row r="12" ht="27.75" customHeight="1">
      <c r="A12" s="16" t="s">
        <v>24</v>
      </c>
      <c r="B12" s="17" t="s">
        <v>25</v>
      </c>
      <c r="C12" s="16" t="s">
        <v>21</v>
      </c>
      <c r="D12" s="18">
        <v>120.0</v>
      </c>
      <c r="E12" s="19"/>
      <c r="F12" s="20" t="str">
        <f t="shared" si="1"/>
        <v/>
      </c>
      <c r="G12" s="21">
        <v>0.2</v>
      </c>
      <c r="H12" s="20" t="str">
        <f t="shared" si="2"/>
        <v/>
      </c>
    </row>
    <row r="13" ht="27.75" customHeight="1">
      <c r="A13" s="16" t="s">
        <v>26</v>
      </c>
      <c r="B13" s="17" t="s">
        <v>27</v>
      </c>
      <c r="C13" s="16" t="s">
        <v>28</v>
      </c>
      <c r="D13" s="18">
        <v>380.0</v>
      </c>
      <c r="E13" s="19"/>
      <c r="F13" s="20" t="str">
        <f t="shared" si="1"/>
        <v/>
      </c>
      <c r="G13" s="21">
        <v>0.2</v>
      </c>
      <c r="H13" s="20" t="str">
        <f t="shared" si="2"/>
        <v/>
      </c>
    </row>
    <row r="14" ht="21.75" customHeight="1">
      <c r="A14" s="22" t="s">
        <v>29</v>
      </c>
      <c r="B14" s="23"/>
      <c r="C14" s="23"/>
      <c r="D14" s="23"/>
      <c r="E14" s="24"/>
      <c r="F14" s="25">
        <f>SUMPRODUCT((F10:F13&lt;&gt;"")*IF(ISNUMBER(F10:F13),F10:F13,0))</f>
        <v>0</v>
      </c>
      <c r="G14" s="26"/>
      <c r="H14" s="25">
        <f>SUMPRODUCT((H10:H13&lt;&gt;"")*IF(ISNUMBER(H10:H13),H10:H13,0))</f>
        <v>0</v>
      </c>
    </row>
    <row r="15" ht="19.5" customHeight="1">
      <c r="A15" s="5" t="s">
        <v>30</v>
      </c>
      <c r="B15" s="6"/>
      <c r="C15" s="6"/>
      <c r="D15" s="6"/>
      <c r="E15" s="6"/>
      <c r="F15" s="6"/>
      <c r="G15" s="6"/>
      <c r="H15" s="7"/>
    </row>
    <row r="16" ht="27.75" customHeight="1">
      <c r="A16" s="16" t="s">
        <v>31</v>
      </c>
      <c r="B16" s="17" t="s">
        <v>32</v>
      </c>
      <c r="C16" s="16" t="s">
        <v>21</v>
      </c>
      <c r="D16" s="18">
        <v>180.0</v>
      </c>
      <c r="E16" s="19"/>
      <c r="F16" s="20" t="str">
        <f t="shared" ref="F16:F18" si="3">IF(E16&lt;&gt;"",E16*D16,"")</f>
        <v/>
      </c>
      <c r="G16" s="21">
        <v>0.2</v>
      </c>
      <c r="H16" s="20" t="str">
        <f t="shared" ref="H16:H18" si="4">IF(F16&lt;&gt;"",F16*(1+G16),"")</f>
        <v/>
      </c>
    </row>
    <row r="17" ht="27.75" customHeight="1">
      <c r="A17" s="16" t="s">
        <v>33</v>
      </c>
      <c r="B17" s="17" t="s">
        <v>34</v>
      </c>
      <c r="C17" s="16" t="s">
        <v>35</v>
      </c>
      <c r="D17" s="18">
        <v>30.0</v>
      </c>
      <c r="E17" s="19"/>
      <c r="F17" s="20" t="str">
        <f t="shared" si="3"/>
        <v/>
      </c>
      <c r="G17" s="21">
        <v>0.2</v>
      </c>
      <c r="H17" s="20" t="str">
        <f t="shared" si="4"/>
        <v/>
      </c>
    </row>
    <row r="18" ht="27.75" customHeight="1">
      <c r="A18" s="16" t="s">
        <v>36</v>
      </c>
      <c r="B18" s="17" t="s">
        <v>37</v>
      </c>
      <c r="C18" s="16" t="s">
        <v>28</v>
      </c>
      <c r="D18" s="18">
        <v>240.0</v>
      </c>
      <c r="E18" s="19"/>
      <c r="F18" s="20" t="str">
        <f t="shared" si="3"/>
        <v/>
      </c>
      <c r="G18" s="21">
        <v>0.2</v>
      </c>
      <c r="H18" s="20" t="str">
        <f t="shared" si="4"/>
        <v/>
      </c>
    </row>
    <row r="19" ht="21.75" customHeight="1">
      <c r="A19" s="22" t="s">
        <v>38</v>
      </c>
      <c r="B19" s="23"/>
      <c r="C19" s="23"/>
      <c r="D19" s="23"/>
      <c r="E19" s="24"/>
      <c r="F19" s="25">
        <f>SUMPRODUCT((F16:F18&lt;&gt;"")*IF(ISNUMBER(F16:F18),F16:F18,0))</f>
        <v>0</v>
      </c>
      <c r="G19" s="26"/>
      <c r="H19" s="25">
        <f>SUMPRODUCT((H16:H18&lt;&gt;"")*IF(ISNUMBER(H16:H18),H16:H18,0))</f>
        <v>0</v>
      </c>
    </row>
    <row r="20" ht="19.5" customHeight="1">
      <c r="A20" s="5" t="s">
        <v>39</v>
      </c>
      <c r="B20" s="6"/>
      <c r="C20" s="6"/>
      <c r="D20" s="6"/>
      <c r="E20" s="6"/>
      <c r="F20" s="6"/>
      <c r="G20" s="6"/>
      <c r="H20" s="7"/>
    </row>
    <row r="21" ht="27.75" customHeight="1">
      <c r="A21" s="16" t="s">
        <v>40</v>
      </c>
      <c r="B21" s="17" t="s">
        <v>41</v>
      </c>
      <c r="C21" s="16" t="s">
        <v>21</v>
      </c>
      <c r="D21" s="18">
        <v>260.0</v>
      </c>
      <c r="E21" s="19"/>
      <c r="F21" s="20" t="str">
        <f t="shared" ref="F21:F23" si="5">IF(E21&lt;&gt;"",E21*D21,"")</f>
        <v/>
      </c>
      <c r="G21" s="21">
        <v>0.2</v>
      </c>
      <c r="H21" s="20" t="str">
        <f t="shared" ref="H21:H23" si="6">IF(F21&lt;&gt;"",F21*(1+G21),"")</f>
        <v/>
      </c>
    </row>
    <row r="22" ht="27.75" customHeight="1">
      <c r="A22" s="16" t="s">
        <v>42</v>
      </c>
      <c r="B22" s="17" t="s">
        <v>43</v>
      </c>
      <c r="C22" s="16" t="s">
        <v>28</v>
      </c>
      <c r="D22" s="18">
        <v>180.0</v>
      </c>
      <c r="E22" s="19"/>
      <c r="F22" s="20" t="str">
        <f t="shared" si="5"/>
        <v/>
      </c>
      <c r="G22" s="21">
        <v>0.2</v>
      </c>
      <c r="H22" s="20" t="str">
        <f t="shared" si="6"/>
        <v/>
      </c>
    </row>
    <row r="23" ht="27.75" customHeight="1">
      <c r="A23" s="16" t="s">
        <v>44</v>
      </c>
      <c r="B23" s="17" t="s">
        <v>45</v>
      </c>
      <c r="C23" s="16" t="s">
        <v>35</v>
      </c>
      <c r="D23" s="18">
        <v>30.0</v>
      </c>
      <c r="E23" s="19"/>
      <c r="F23" s="20" t="str">
        <f t="shared" si="5"/>
        <v/>
      </c>
      <c r="G23" s="21">
        <v>0.2</v>
      </c>
      <c r="H23" s="20" t="str">
        <f t="shared" si="6"/>
        <v/>
      </c>
    </row>
    <row r="24" ht="21.75" customHeight="1">
      <c r="A24" s="22" t="s">
        <v>46</v>
      </c>
      <c r="B24" s="23"/>
      <c r="C24" s="23"/>
      <c r="D24" s="23"/>
      <c r="E24" s="24"/>
      <c r="F24" s="25">
        <f>SUMPRODUCT((F21:F23&lt;&gt;"")*IF(ISNUMBER(F21:F23),F21:F23,0))</f>
        <v>0</v>
      </c>
      <c r="G24" s="26"/>
      <c r="H24" s="25">
        <f>SUMPRODUCT((H21:H23&lt;&gt;"")*IF(ISNUMBER(H21:H23),H21:H23,0))</f>
        <v>0</v>
      </c>
    </row>
    <row r="25" ht="19.5" customHeight="1">
      <c r="A25" s="5" t="s">
        <v>47</v>
      </c>
      <c r="B25" s="6"/>
      <c r="C25" s="6"/>
      <c r="D25" s="6"/>
      <c r="E25" s="6"/>
      <c r="F25" s="6"/>
      <c r="G25" s="6"/>
      <c r="H25" s="7"/>
    </row>
    <row r="26" ht="27.75" customHeight="1">
      <c r="A26" s="16" t="s">
        <v>48</v>
      </c>
      <c r="B26" s="17" t="s">
        <v>49</v>
      </c>
      <c r="C26" s="16" t="s">
        <v>21</v>
      </c>
      <c r="D26" s="18">
        <v>210.0</v>
      </c>
      <c r="E26" s="19"/>
      <c r="F26" s="20" t="str">
        <f t="shared" ref="F26:F28" si="7">IF(E26&lt;&gt;"",E26*D26,"")</f>
        <v/>
      </c>
      <c r="G26" s="21">
        <v>0.2</v>
      </c>
      <c r="H26" s="20" t="str">
        <f t="shared" ref="H26:H28" si="8">IF(F26&lt;&gt;"",F26*(1+G26),"")</f>
        <v/>
      </c>
    </row>
    <row r="27" ht="27.75" customHeight="1">
      <c r="A27" s="16" t="s">
        <v>50</v>
      </c>
      <c r="B27" s="17" t="s">
        <v>51</v>
      </c>
      <c r="C27" s="16" t="s">
        <v>35</v>
      </c>
      <c r="D27" s="18">
        <v>840.0</v>
      </c>
      <c r="E27" s="19"/>
      <c r="F27" s="20" t="str">
        <f t="shared" si="7"/>
        <v/>
      </c>
      <c r="G27" s="21">
        <v>0.2</v>
      </c>
      <c r="H27" s="20" t="str">
        <f t="shared" si="8"/>
        <v/>
      </c>
    </row>
    <row r="28" ht="27.75" customHeight="1">
      <c r="A28" s="16" t="s">
        <v>52</v>
      </c>
      <c r="B28" s="17" t="s">
        <v>53</v>
      </c>
      <c r="C28" s="16" t="s">
        <v>28</v>
      </c>
      <c r="D28" s="18">
        <v>160.0</v>
      </c>
      <c r="E28" s="19"/>
      <c r="F28" s="20" t="str">
        <f t="shared" si="7"/>
        <v/>
      </c>
      <c r="G28" s="21">
        <v>0.2</v>
      </c>
      <c r="H28" s="20" t="str">
        <f t="shared" si="8"/>
        <v/>
      </c>
    </row>
    <row r="29" ht="21.75" customHeight="1">
      <c r="A29" s="22" t="s">
        <v>54</v>
      </c>
      <c r="B29" s="23"/>
      <c r="C29" s="23"/>
      <c r="D29" s="23"/>
      <c r="E29" s="24"/>
      <c r="F29" s="25">
        <f>SUMPRODUCT((F26:F28&lt;&gt;"")*IF(ISNUMBER(F26:F28),F26:F28,0))</f>
        <v>0</v>
      </c>
      <c r="G29" s="26"/>
      <c r="H29" s="25">
        <f>SUMPRODUCT((H26:H28&lt;&gt;"")*IF(ISNUMBER(H26:H28),H26:H28,0))</f>
        <v>0</v>
      </c>
    </row>
    <row r="30" ht="19.5" customHeight="1">
      <c r="A30" s="5" t="s">
        <v>55</v>
      </c>
      <c r="B30" s="6"/>
      <c r="C30" s="6"/>
      <c r="D30" s="6"/>
      <c r="E30" s="6"/>
      <c r="F30" s="6"/>
      <c r="G30" s="6"/>
      <c r="H30" s="7"/>
    </row>
    <row r="31" ht="19.5" customHeight="1">
      <c r="A31" s="5" t="s">
        <v>56</v>
      </c>
      <c r="B31" s="6"/>
      <c r="C31" s="6"/>
      <c r="D31" s="6"/>
      <c r="E31" s="6"/>
      <c r="F31" s="6"/>
      <c r="G31" s="6"/>
      <c r="H31" s="7"/>
    </row>
    <row r="32" ht="27.75" customHeight="1">
      <c r="A32" s="16" t="s">
        <v>57</v>
      </c>
      <c r="B32" s="17" t="s">
        <v>58</v>
      </c>
      <c r="C32" s="16" t="s">
        <v>21</v>
      </c>
      <c r="D32" s="18">
        <v>530.0</v>
      </c>
      <c r="E32" s="19"/>
      <c r="F32" s="20" t="str">
        <f t="shared" ref="F32:F33" si="9">IF(E32&lt;&gt;"",E32*D32,"")</f>
        <v/>
      </c>
      <c r="G32" s="21">
        <v>0.1</v>
      </c>
      <c r="H32" s="20" t="str">
        <f t="shared" ref="H32:H33" si="10">IF(F32&lt;&gt;"",F32*(1+G32),"")</f>
        <v/>
      </c>
    </row>
    <row r="33" ht="27.75" customHeight="1">
      <c r="A33" s="16" t="s">
        <v>59</v>
      </c>
      <c r="B33" s="17" t="s">
        <v>60</v>
      </c>
      <c r="C33" s="16" t="s">
        <v>28</v>
      </c>
      <c r="D33" s="18">
        <v>480.0</v>
      </c>
      <c r="E33" s="19"/>
      <c r="F33" s="20" t="str">
        <f t="shared" si="9"/>
        <v/>
      </c>
      <c r="G33" s="21">
        <v>0.1</v>
      </c>
      <c r="H33" s="20" t="str">
        <f t="shared" si="10"/>
        <v/>
      </c>
    </row>
    <row r="34" ht="21.75" customHeight="1">
      <c r="A34" s="22" t="s">
        <v>61</v>
      </c>
      <c r="B34" s="23"/>
      <c r="C34" s="23"/>
      <c r="D34" s="23"/>
      <c r="E34" s="24"/>
      <c r="F34" s="25">
        <f>SUMPRODUCT((F32:F33&lt;&gt;"")*IF(ISNUMBER(F32:F33),F32:F33,0))</f>
        <v>0</v>
      </c>
      <c r="G34" s="26"/>
      <c r="H34" s="25">
        <f>SUMPRODUCT((H32:H33&lt;&gt;"")*IF(ISNUMBER(H32:H33),H32:H33,0))</f>
        <v>0</v>
      </c>
    </row>
    <row r="35" ht="19.5" customHeight="1">
      <c r="A35" s="5" t="s">
        <v>62</v>
      </c>
      <c r="B35" s="6"/>
      <c r="C35" s="6"/>
      <c r="D35" s="6"/>
      <c r="E35" s="6"/>
      <c r="F35" s="6"/>
      <c r="G35" s="6"/>
      <c r="H35" s="7"/>
    </row>
    <row r="36" ht="27.75" customHeight="1">
      <c r="A36" s="16" t="s">
        <v>63</v>
      </c>
      <c r="B36" s="17" t="s">
        <v>64</v>
      </c>
      <c r="C36" s="16" t="s">
        <v>21</v>
      </c>
      <c r="D36" s="18">
        <v>220.0</v>
      </c>
      <c r="E36" s="19"/>
      <c r="F36" s="20" t="str">
        <f t="shared" ref="F36:F37" si="11">IF(E36&lt;&gt;"",E36*D36,"")</f>
        <v/>
      </c>
      <c r="G36" s="21">
        <v>0.1</v>
      </c>
      <c r="H36" s="20" t="str">
        <f t="shared" ref="H36:H37" si="12">IF(F36&lt;&gt;"",F36*(1+G36),"")</f>
        <v/>
      </c>
    </row>
    <row r="37" ht="27.75" customHeight="1">
      <c r="A37" s="16" t="s">
        <v>65</v>
      </c>
      <c r="B37" s="17" t="s">
        <v>66</v>
      </c>
      <c r="C37" s="16" t="s">
        <v>35</v>
      </c>
      <c r="D37" s="18">
        <v>39.0</v>
      </c>
      <c r="E37" s="19"/>
      <c r="F37" s="20" t="str">
        <f t="shared" si="11"/>
        <v/>
      </c>
      <c r="G37" s="21">
        <v>0.1</v>
      </c>
      <c r="H37" s="20" t="str">
        <f t="shared" si="12"/>
        <v/>
      </c>
    </row>
    <row r="38" ht="21.75" customHeight="1">
      <c r="A38" s="22" t="s">
        <v>67</v>
      </c>
      <c r="B38" s="23"/>
      <c r="C38" s="23"/>
      <c r="D38" s="23"/>
      <c r="E38" s="24"/>
      <c r="F38" s="25">
        <f>SUMPRODUCT((F36:F37&lt;&gt;"")*IF(ISNUMBER(F36:F37),F36:F37,0))</f>
        <v>0</v>
      </c>
      <c r="G38" s="26"/>
      <c r="H38" s="25">
        <f>SUMPRODUCT((H36:H37&lt;&gt;"")*IF(ISNUMBER(H36:H37),H36:H37,0))</f>
        <v>0</v>
      </c>
    </row>
    <row r="39" ht="19.5" customHeight="1">
      <c r="A39" s="5" t="s">
        <v>68</v>
      </c>
      <c r="B39" s="6"/>
      <c r="C39" s="6"/>
      <c r="D39" s="6"/>
      <c r="E39" s="6"/>
      <c r="F39" s="6"/>
      <c r="G39" s="6"/>
      <c r="H39" s="7"/>
    </row>
    <row r="40" ht="27.75" customHeight="1">
      <c r="A40" s="16" t="s">
        <v>69</v>
      </c>
      <c r="B40" s="17" t="s">
        <v>70</v>
      </c>
      <c r="C40" s="16" t="s">
        <v>21</v>
      </c>
      <c r="D40" s="18">
        <v>320.0</v>
      </c>
      <c r="E40" s="19"/>
      <c r="F40" s="20" t="str">
        <f>IF(E40&lt;&gt;"",E40*D40,"")</f>
        <v/>
      </c>
      <c r="G40" s="21">
        <v>0.1</v>
      </c>
      <c r="H40" s="20" t="str">
        <f>IF(F40&lt;&gt;"",F40*(1+G40),"")</f>
        <v/>
      </c>
    </row>
    <row r="41" ht="21.75" customHeight="1">
      <c r="A41" s="22" t="s">
        <v>71</v>
      </c>
      <c r="B41" s="23"/>
      <c r="C41" s="23"/>
      <c r="D41" s="23"/>
      <c r="E41" s="24"/>
      <c r="F41" s="25">
        <f>SUMPRODUCT((F40&lt;&gt;"")*IF(ISNUMBER(F40),F40,0))</f>
        <v>0</v>
      </c>
      <c r="G41" s="26"/>
      <c r="H41" s="25">
        <f>SUMPRODUCT((H40&lt;&gt;"")*IF(ISNUMBER(H40),H40,0))</f>
        <v>0</v>
      </c>
    </row>
    <row r="42" ht="19.5" customHeight="1">
      <c r="A42" s="5" t="s">
        <v>72</v>
      </c>
      <c r="B42" s="6"/>
      <c r="C42" s="6"/>
      <c r="D42" s="6"/>
      <c r="E42" s="6"/>
      <c r="F42" s="6"/>
      <c r="G42" s="6"/>
      <c r="H42" s="7"/>
    </row>
    <row r="43" ht="27.75" customHeight="1">
      <c r="A43" s="16" t="s">
        <v>73</v>
      </c>
      <c r="B43" s="17" t="s">
        <v>74</v>
      </c>
      <c r="C43" s="16" t="s">
        <v>21</v>
      </c>
      <c r="D43" s="18">
        <v>190.0</v>
      </c>
      <c r="E43" s="19"/>
      <c r="F43" s="20" t="str">
        <f>IF(E43&lt;&gt;"",E43*D43,"")</f>
        <v/>
      </c>
      <c r="G43" s="21">
        <v>0.1</v>
      </c>
      <c r="H43" s="20" t="str">
        <f>IF(F43&lt;&gt;"",F43*(1+G43),"")</f>
        <v/>
      </c>
    </row>
    <row r="44" ht="21.75" customHeight="1">
      <c r="A44" s="22" t="s">
        <v>75</v>
      </c>
      <c r="B44" s="23"/>
      <c r="C44" s="23"/>
      <c r="D44" s="23"/>
      <c r="E44" s="24"/>
      <c r="F44" s="25">
        <f>SUMPRODUCT((F43&lt;&gt;"")*IF(ISNUMBER(F43),F43,0))</f>
        <v>0</v>
      </c>
      <c r="G44" s="26"/>
      <c r="H44" s="25">
        <f>SUMPRODUCT((H43&lt;&gt;"")*IF(ISNUMBER(H43),H43,0))</f>
        <v>0</v>
      </c>
    </row>
    <row r="45" ht="19.5" customHeight="1">
      <c r="A45" s="5" t="s">
        <v>76</v>
      </c>
      <c r="B45" s="6"/>
      <c r="C45" s="6"/>
      <c r="D45" s="6"/>
      <c r="E45" s="6"/>
      <c r="F45" s="6"/>
      <c r="G45" s="6"/>
      <c r="H45" s="7"/>
    </row>
    <row r="46" ht="27.75" customHeight="1">
      <c r="A46" s="16" t="s">
        <v>77</v>
      </c>
      <c r="B46" s="17" t="s">
        <v>78</v>
      </c>
      <c r="C46" s="16" t="s">
        <v>21</v>
      </c>
      <c r="D46" s="18">
        <v>280.0</v>
      </c>
      <c r="E46" s="19"/>
      <c r="F46" s="20" t="str">
        <f t="shared" ref="F46:F48" si="13">IF(E46&lt;&gt;"",E46*D46,"")</f>
        <v/>
      </c>
      <c r="G46" s="21">
        <v>0.2</v>
      </c>
      <c r="H46" s="20" t="str">
        <f t="shared" ref="H46:H48" si="14">IF(F46&lt;&gt;"",F46*(1+G46),"")</f>
        <v/>
      </c>
    </row>
    <row r="47" ht="27.75" customHeight="1">
      <c r="A47" s="16" t="s">
        <v>79</v>
      </c>
      <c r="B47" s="17" t="s">
        <v>80</v>
      </c>
      <c r="C47" s="16" t="s">
        <v>28</v>
      </c>
      <c r="D47" s="18">
        <v>120.0</v>
      </c>
      <c r="E47" s="19"/>
      <c r="F47" s="20" t="str">
        <f t="shared" si="13"/>
        <v/>
      </c>
      <c r="G47" s="21">
        <v>0.2</v>
      </c>
      <c r="H47" s="20" t="str">
        <f t="shared" si="14"/>
        <v/>
      </c>
    </row>
    <row r="48" ht="27.75" customHeight="1">
      <c r="A48" s="16" t="s">
        <v>81</v>
      </c>
      <c r="B48" s="17" t="s">
        <v>82</v>
      </c>
      <c r="C48" s="16" t="s">
        <v>28</v>
      </c>
      <c r="D48" s="18">
        <v>320.0</v>
      </c>
      <c r="E48" s="19"/>
      <c r="F48" s="20" t="str">
        <f t="shared" si="13"/>
        <v/>
      </c>
      <c r="G48" s="21">
        <v>0.2</v>
      </c>
      <c r="H48" s="20" t="str">
        <f t="shared" si="14"/>
        <v/>
      </c>
    </row>
    <row r="49" ht="21.75" customHeight="1">
      <c r="A49" s="22" t="s">
        <v>83</v>
      </c>
      <c r="B49" s="23"/>
      <c r="C49" s="23"/>
      <c r="D49" s="23"/>
      <c r="E49" s="24"/>
      <c r="F49" s="25">
        <f>SUMPRODUCT((F46:F48&lt;&gt;"")*IF(ISNUMBER(F46:F48),F46:F48,0))</f>
        <v>0</v>
      </c>
      <c r="G49" s="26"/>
      <c r="H49" s="25">
        <f>SUMPRODUCT((H46:H48&lt;&gt;"")*IF(ISNUMBER(H46:H48),H46:H48,0))</f>
        <v>0</v>
      </c>
    </row>
    <row r="50" ht="19.5" customHeight="1">
      <c r="A50" s="5" t="s">
        <v>84</v>
      </c>
      <c r="B50" s="6"/>
      <c r="C50" s="6"/>
      <c r="D50" s="6"/>
      <c r="E50" s="6"/>
      <c r="F50" s="6"/>
      <c r="G50" s="6"/>
      <c r="H50" s="7"/>
    </row>
    <row r="51" ht="27.75" customHeight="1">
      <c r="A51" s="16" t="s">
        <v>85</v>
      </c>
      <c r="B51" s="17" t="s">
        <v>86</v>
      </c>
      <c r="C51" s="16" t="s">
        <v>87</v>
      </c>
      <c r="D51" s="18">
        <v>1.0</v>
      </c>
      <c r="E51" s="19"/>
      <c r="F51" s="20" t="str">
        <f t="shared" ref="F51:F54" si="15">IF(E51&lt;&gt;"",E51*D51,"")</f>
        <v/>
      </c>
      <c r="G51" s="21">
        <v>0.2</v>
      </c>
      <c r="H51" s="20" t="str">
        <f t="shared" ref="H51:H54" si="16">IF(F51&lt;&gt;"",F51*(1+G51),"")</f>
        <v/>
      </c>
    </row>
    <row r="52" ht="27.75" customHeight="1">
      <c r="A52" s="16" t="s">
        <v>88</v>
      </c>
      <c r="B52" s="17" t="s">
        <v>89</v>
      </c>
      <c r="C52" s="16" t="s">
        <v>87</v>
      </c>
      <c r="D52" s="18">
        <v>1.0</v>
      </c>
      <c r="E52" s="19"/>
      <c r="F52" s="20" t="str">
        <f t="shared" si="15"/>
        <v/>
      </c>
      <c r="G52" s="21">
        <v>0.2</v>
      </c>
      <c r="H52" s="20" t="str">
        <f t="shared" si="16"/>
        <v/>
      </c>
    </row>
    <row r="53" ht="27.75" customHeight="1">
      <c r="A53" s="16" t="s">
        <v>90</v>
      </c>
      <c r="B53" s="17" t="s">
        <v>91</v>
      </c>
      <c r="C53" s="16" t="s">
        <v>87</v>
      </c>
      <c r="D53" s="18">
        <v>1.0</v>
      </c>
      <c r="E53" s="19"/>
      <c r="F53" s="20" t="str">
        <f t="shared" si="15"/>
        <v/>
      </c>
      <c r="G53" s="21">
        <v>0.2</v>
      </c>
      <c r="H53" s="20" t="str">
        <f t="shared" si="16"/>
        <v/>
      </c>
    </row>
    <row r="54" ht="27.75" customHeight="1">
      <c r="A54" s="16" t="s">
        <v>92</v>
      </c>
      <c r="B54" s="17" t="s">
        <v>93</v>
      </c>
      <c r="C54" s="16" t="s">
        <v>87</v>
      </c>
      <c r="D54" s="18">
        <v>1.0</v>
      </c>
      <c r="E54" s="19"/>
      <c r="F54" s="20" t="str">
        <f t="shared" si="15"/>
        <v/>
      </c>
      <c r="G54" s="21">
        <v>0.2</v>
      </c>
      <c r="H54" s="20" t="str">
        <f t="shared" si="16"/>
        <v/>
      </c>
    </row>
    <row r="55" ht="21.75" customHeight="1">
      <c r="A55" s="22" t="s">
        <v>94</v>
      </c>
      <c r="B55" s="23"/>
      <c r="C55" s="23"/>
      <c r="D55" s="23"/>
      <c r="E55" s="24"/>
      <c r="F55" s="25">
        <f>SUMPRODUCT((F51:F54&lt;&gt;"")*IF(ISNUMBER(F51:F54),F51:F54,0))</f>
        <v>0</v>
      </c>
      <c r="G55" s="26"/>
      <c r="H55" s="25">
        <f>SUMPRODUCT((H51:H54&lt;&gt;"")*IF(ISNUMBER(H51:H54),H51:H54,0))</f>
        <v>0</v>
      </c>
    </row>
    <row r="56" ht="15.75" customHeight="1"/>
    <row r="57" ht="27.75" customHeight="1">
      <c r="A57" s="27" t="s">
        <v>95</v>
      </c>
      <c r="B57" s="23"/>
      <c r="C57" s="23"/>
      <c r="D57" s="23"/>
      <c r="E57" s="24"/>
      <c r="F57" s="28">
        <f>SUM(F14,F19,F24,F29,F34,F38,F41,F44,F49,F55)</f>
        <v>0</v>
      </c>
      <c r="G57" s="29"/>
      <c r="H57" s="28">
        <f>SUM(H14,H19,H24,H29,H34,H38,H41,H44,H49,H55)</f>
        <v>0</v>
      </c>
    </row>
    <row r="58" ht="15.75" customHeight="1"/>
    <row r="59" ht="36.0" customHeight="1">
      <c r="A59" s="30" t="s">
        <v>96</v>
      </c>
      <c r="B59" s="2"/>
      <c r="C59" s="2"/>
      <c r="D59" s="2"/>
      <c r="E59" s="2"/>
      <c r="F59" s="2"/>
      <c r="G59" s="2"/>
      <c r="H59" s="3"/>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H1"/>
    <mergeCell ref="A2:H2"/>
    <mergeCell ref="A3:D3"/>
    <mergeCell ref="E3:H3"/>
    <mergeCell ref="A4:D4"/>
    <mergeCell ref="E4:H4"/>
    <mergeCell ref="A5:H5"/>
    <mergeCell ref="A8:H8"/>
    <mergeCell ref="A9:H9"/>
    <mergeCell ref="A14:E14"/>
    <mergeCell ref="A15:H15"/>
    <mergeCell ref="A19:E19"/>
    <mergeCell ref="A20:H20"/>
    <mergeCell ref="A25:H25"/>
    <mergeCell ref="A24:E24"/>
    <mergeCell ref="A29:E29"/>
    <mergeCell ref="A30:H30"/>
    <mergeCell ref="A31:H31"/>
    <mergeCell ref="A34:E34"/>
    <mergeCell ref="A35:H35"/>
    <mergeCell ref="A39:H39"/>
    <mergeCell ref="A55:E55"/>
    <mergeCell ref="A57:E57"/>
    <mergeCell ref="A59:H59"/>
    <mergeCell ref="A38:E38"/>
    <mergeCell ref="A41:E41"/>
    <mergeCell ref="A42:H42"/>
    <mergeCell ref="A44:E44"/>
    <mergeCell ref="A45:H45"/>
    <mergeCell ref="A49:E49"/>
    <mergeCell ref="A50:H5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10.0"/>
    <col customWidth="1" min="2" max="2" width="52.0"/>
    <col customWidth="1" min="3" max="3" width="9.0"/>
    <col customWidth="1" min="4" max="4" width="10.0"/>
    <col customWidth="1" min="5" max="5" width="22.0"/>
    <col customWidth="1" min="6" max="6" width="14.0"/>
    <col customWidth="1" min="7" max="26" width="8.71"/>
  </cols>
  <sheetData>
    <row r="1" ht="45.0" customHeight="1">
      <c r="A1" s="1" t="s">
        <v>97</v>
      </c>
      <c r="B1" s="2"/>
      <c r="C1" s="2"/>
      <c r="D1" s="2"/>
      <c r="E1" s="2"/>
      <c r="F1" s="3"/>
    </row>
    <row r="2" ht="30.0" customHeight="1">
      <c r="A2" s="4" t="s">
        <v>1</v>
      </c>
      <c r="B2" s="2"/>
      <c r="C2" s="2"/>
      <c r="D2" s="2"/>
      <c r="E2" s="2"/>
      <c r="F2" s="3"/>
    </row>
    <row r="3" ht="21.75" customHeight="1">
      <c r="A3" s="5" t="s">
        <v>2</v>
      </c>
      <c r="B3" s="6"/>
      <c r="C3" s="7"/>
      <c r="D3" s="8"/>
      <c r="E3" s="6"/>
      <c r="F3" s="7"/>
    </row>
    <row r="4" ht="36.0" customHeight="1">
      <c r="A4" s="30" t="s">
        <v>98</v>
      </c>
      <c r="B4" s="2"/>
      <c r="C4" s="2"/>
      <c r="D4" s="2"/>
      <c r="E4" s="2"/>
      <c r="F4" s="3"/>
    </row>
    <row r="6" ht="18.0" customHeight="1">
      <c r="A6" s="10" t="s">
        <v>99</v>
      </c>
      <c r="B6" s="11"/>
      <c r="C6" s="31" t="s">
        <v>100</v>
      </c>
      <c r="D6" s="11"/>
      <c r="E6" s="14" t="s">
        <v>8</v>
      </c>
      <c r="F6" s="11"/>
    </row>
    <row r="7" ht="45.0" customHeight="1">
      <c r="A7" s="15" t="s">
        <v>101</v>
      </c>
      <c r="B7" s="15" t="s">
        <v>102</v>
      </c>
      <c r="C7" s="15" t="s">
        <v>11</v>
      </c>
      <c r="D7" s="15" t="s">
        <v>15</v>
      </c>
      <c r="E7" s="15" t="s">
        <v>103</v>
      </c>
      <c r="F7" s="15" t="s">
        <v>104</v>
      </c>
    </row>
    <row r="8" ht="19.5" customHeight="1">
      <c r="A8" s="5" t="s">
        <v>105</v>
      </c>
      <c r="B8" s="6"/>
      <c r="C8" s="6"/>
      <c r="D8" s="6"/>
      <c r="E8" s="6"/>
      <c r="F8" s="7"/>
    </row>
    <row r="9" ht="27.75" customHeight="1">
      <c r="A9" s="16" t="s">
        <v>106</v>
      </c>
      <c r="B9" s="17" t="s">
        <v>107</v>
      </c>
      <c r="C9" s="16" t="s">
        <v>21</v>
      </c>
      <c r="D9" s="21">
        <v>0.2</v>
      </c>
      <c r="E9" s="19"/>
      <c r="F9" s="32" t="s">
        <v>108</v>
      </c>
    </row>
    <row r="10" ht="27.75" customHeight="1">
      <c r="A10" s="16" t="s">
        <v>109</v>
      </c>
      <c r="B10" s="17" t="s">
        <v>110</v>
      </c>
      <c r="C10" s="16" t="s">
        <v>21</v>
      </c>
      <c r="D10" s="21">
        <v>0.2</v>
      </c>
      <c r="E10" s="19"/>
      <c r="F10" s="32"/>
    </row>
    <row r="11" ht="27.75" customHeight="1">
      <c r="A11" s="16" t="s">
        <v>111</v>
      </c>
      <c r="B11" s="17" t="s">
        <v>112</v>
      </c>
      <c r="C11" s="16" t="s">
        <v>21</v>
      </c>
      <c r="D11" s="21">
        <v>0.2</v>
      </c>
      <c r="E11" s="19"/>
      <c r="F11" s="32" t="s">
        <v>113</v>
      </c>
    </row>
    <row r="12" ht="27.75" customHeight="1">
      <c r="A12" s="16" t="s">
        <v>114</v>
      </c>
      <c r="B12" s="17" t="s">
        <v>115</v>
      </c>
      <c r="C12" s="16" t="s">
        <v>28</v>
      </c>
      <c r="D12" s="21">
        <v>0.2</v>
      </c>
      <c r="E12" s="19"/>
      <c r="F12" s="32"/>
    </row>
    <row r="13" ht="27.75" customHeight="1">
      <c r="A13" s="16" t="s">
        <v>116</v>
      </c>
      <c r="B13" s="17" t="s">
        <v>117</v>
      </c>
      <c r="C13" s="16" t="s">
        <v>21</v>
      </c>
      <c r="D13" s="21">
        <v>0.2</v>
      </c>
      <c r="E13" s="19"/>
      <c r="F13" s="32"/>
    </row>
    <row r="14" ht="27.75" customHeight="1">
      <c r="A14" s="16" t="s">
        <v>118</v>
      </c>
      <c r="B14" s="17" t="s">
        <v>119</v>
      </c>
      <c r="C14" s="16" t="s">
        <v>35</v>
      </c>
      <c r="D14" s="21">
        <v>0.2</v>
      </c>
      <c r="E14" s="19"/>
      <c r="F14" s="32"/>
    </row>
    <row r="15" ht="27.75" customHeight="1">
      <c r="A15" s="16" t="s">
        <v>120</v>
      </c>
      <c r="B15" s="17" t="s">
        <v>121</v>
      </c>
      <c r="C15" s="16" t="s">
        <v>28</v>
      </c>
      <c r="D15" s="21">
        <v>0.2</v>
      </c>
      <c r="E15" s="19"/>
      <c r="F15" s="32"/>
    </row>
    <row r="16" ht="27.75" customHeight="1">
      <c r="A16" s="16" t="s">
        <v>122</v>
      </c>
      <c r="B16" s="17" t="s">
        <v>123</v>
      </c>
      <c r="C16" s="16" t="s">
        <v>21</v>
      </c>
      <c r="D16" s="21">
        <v>0.2</v>
      </c>
      <c r="E16" s="19"/>
      <c r="F16" s="32" t="s">
        <v>124</v>
      </c>
    </row>
    <row r="17" ht="27.75" customHeight="1">
      <c r="A17" s="16" t="s">
        <v>125</v>
      </c>
      <c r="B17" s="17" t="s">
        <v>126</v>
      </c>
      <c r="C17" s="16" t="s">
        <v>28</v>
      </c>
      <c r="D17" s="21">
        <v>0.2</v>
      </c>
      <c r="E17" s="19"/>
      <c r="F17" s="32"/>
    </row>
    <row r="18" ht="27.75" customHeight="1">
      <c r="A18" s="16" t="s">
        <v>127</v>
      </c>
      <c r="B18" s="17" t="s">
        <v>128</v>
      </c>
      <c r="C18" s="16" t="s">
        <v>35</v>
      </c>
      <c r="D18" s="21">
        <v>0.2</v>
      </c>
      <c r="E18" s="19"/>
      <c r="F18" s="32"/>
    </row>
    <row r="19" ht="27.75" customHeight="1">
      <c r="A19" s="16" t="s">
        <v>129</v>
      </c>
      <c r="B19" s="17" t="s">
        <v>130</v>
      </c>
      <c r="C19" s="16" t="s">
        <v>21</v>
      </c>
      <c r="D19" s="21">
        <v>0.2</v>
      </c>
      <c r="E19" s="19"/>
      <c r="F19" s="32" t="s">
        <v>131</v>
      </c>
    </row>
    <row r="20" ht="27.75" customHeight="1">
      <c r="A20" s="16" t="s">
        <v>132</v>
      </c>
      <c r="B20" s="17" t="s">
        <v>133</v>
      </c>
      <c r="C20" s="16" t="s">
        <v>35</v>
      </c>
      <c r="D20" s="21">
        <v>0.2</v>
      </c>
      <c r="E20" s="19"/>
      <c r="F20" s="32"/>
    </row>
    <row r="21" ht="19.5" customHeight="1">
      <c r="A21" s="5" t="s">
        <v>134</v>
      </c>
      <c r="B21" s="6"/>
      <c r="C21" s="6"/>
      <c r="D21" s="6"/>
      <c r="E21" s="6"/>
      <c r="F21" s="7"/>
    </row>
    <row r="22" ht="27.75" customHeight="1">
      <c r="A22" s="16" t="s">
        <v>135</v>
      </c>
      <c r="B22" s="17" t="s">
        <v>136</v>
      </c>
      <c r="C22" s="16" t="s">
        <v>21</v>
      </c>
      <c r="D22" s="21">
        <v>0.1</v>
      </c>
      <c r="E22" s="19"/>
      <c r="F22" s="32" t="s">
        <v>137</v>
      </c>
    </row>
    <row r="23" ht="27.75" customHeight="1">
      <c r="A23" s="16" t="s">
        <v>138</v>
      </c>
      <c r="B23" s="17" t="s">
        <v>139</v>
      </c>
      <c r="C23" s="16" t="s">
        <v>21</v>
      </c>
      <c r="D23" s="21">
        <v>0.1</v>
      </c>
      <c r="E23" s="19"/>
      <c r="F23" s="32" t="s">
        <v>140</v>
      </c>
    </row>
    <row r="24" ht="27.75" customHeight="1">
      <c r="A24" s="16" t="s">
        <v>141</v>
      </c>
      <c r="B24" s="17" t="s">
        <v>142</v>
      </c>
      <c r="C24" s="16" t="s">
        <v>28</v>
      </c>
      <c r="D24" s="21">
        <v>0.1</v>
      </c>
      <c r="E24" s="19"/>
      <c r="F24" s="32"/>
    </row>
    <row r="25" ht="27.75" customHeight="1">
      <c r="A25" s="16" t="s">
        <v>143</v>
      </c>
      <c r="B25" s="17" t="s">
        <v>144</v>
      </c>
      <c r="C25" s="16" t="s">
        <v>35</v>
      </c>
      <c r="D25" s="21">
        <v>0.1</v>
      </c>
      <c r="E25" s="19"/>
      <c r="F25" s="32"/>
    </row>
    <row r="26" ht="27.75" customHeight="1">
      <c r="A26" s="16" t="s">
        <v>145</v>
      </c>
      <c r="B26" s="17" t="s">
        <v>146</v>
      </c>
      <c r="C26" s="16" t="s">
        <v>21</v>
      </c>
      <c r="D26" s="21">
        <v>0.1</v>
      </c>
      <c r="E26" s="19"/>
      <c r="F26" s="32" t="s">
        <v>140</v>
      </c>
    </row>
    <row r="27" ht="27.75" customHeight="1">
      <c r="A27" s="16" t="s">
        <v>147</v>
      </c>
      <c r="B27" s="17" t="s">
        <v>148</v>
      </c>
      <c r="C27" s="16" t="s">
        <v>21</v>
      </c>
      <c r="D27" s="21">
        <v>0.1</v>
      </c>
      <c r="E27" s="19"/>
      <c r="F27" s="32" t="s">
        <v>149</v>
      </c>
    </row>
    <row r="28" ht="19.5" customHeight="1">
      <c r="A28" s="5" t="s">
        <v>150</v>
      </c>
      <c r="B28" s="6"/>
      <c r="C28" s="6"/>
      <c r="D28" s="6"/>
      <c r="E28" s="6"/>
      <c r="F28" s="7"/>
    </row>
    <row r="29" ht="27.75" customHeight="1">
      <c r="A29" s="16" t="s">
        <v>151</v>
      </c>
      <c r="B29" s="17" t="s">
        <v>152</v>
      </c>
      <c r="C29" s="16" t="s">
        <v>21</v>
      </c>
      <c r="D29" s="21">
        <v>0.2</v>
      </c>
      <c r="E29" s="19"/>
      <c r="F29" s="32"/>
    </row>
    <row r="30" ht="27.75" customHeight="1">
      <c r="A30" s="16" t="s">
        <v>153</v>
      </c>
      <c r="B30" s="17" t="s">
        <v>154</v>
      </c>
      <c r="C30" s="16" t="s">
        <v>28</v>
      </c>
      <c r="D30" s="21">
        <v>0.2</v>
      </c>
      <c r="E30" s="19"/>
      <c r="F30" s="32"/>
    </row>
    <row r="31" ht="27.75" customHeight="1">
      <c r="A31" s="16" t="s">
        <v>155</v>
      </c>
      <c r="B31" s="17" t="s">
        <v>156</v>
      </c>
      <c r="C31" s="16" t="s">
        <v>28</v>
      </c>
      <c r="D31" s="21">
        <v>0.2</v>
      </c>
      <c r="E31" s="19"/>
      <c r="F31" s="32"/>
    </row>
    <row r="32" ht="27.75" customHeight="1">
      <c r="A32" s="16" t="s">
        <v>157</v>
      </c>
      <c r="B32" s="17" t="s">
        <v>158</v>
      </c>
      <c r="C32" s="16" t="s">
        <v>28</v>
      </c>
      <c r="D32" s="21">
        <v>0.2</v>
      </c>
      <c r="E32" s="19"/>
      <c r="F32" s="32"/>
    </row>
    <row r="33" ht="27.75" customHeight="1">
      <c r="A33" s="16" t="s">
        <v>159</v>
      </c>
      <c r="B33" s="17" t="s">
        <v>160</v>
      </c>
      <c r="C33" s="16" t="s">
        <v>21</v>
      </c>
      <c r="D33" s="21">
        <v>0.2</v>
      </c>
      <c r="E33" s="19"/>
      <c r="F33" s="32"/>
    </row>
    <row r="34" ht="27.75" customHeight="1">
      <c r="A34" s="16" t="s">
        <v>161</v>
      </c>
      <c r="B34" s="17" t="s">
        <v>162</v>
      </c>
      <c r="C34" s="16" t="s">
        <v>35</v>
      </c>
      <c r="D34" s="21">
        <v>0.2</v>
      </c>
      <c r="E34" s="19"/>
      <c r="F34" s="32"/>
    </row>
    <row r="35" ht="27.75" customHeight="1">
      <c r="A35" s="16" t="s">
        <v>163</v>
      </c>
      <c r="B35" s="17" t="s">
        <v>164</v>
      </c>
      <c r="C35" s="16" t="s">
        <v>21</v>
      </c>
      <c r="D35" s="21">
        <v>0.2</v>
      </c>
      <c r="E35" s="19"/>
      <c r="F35" s="32"/>
    </row>
    <row r="36" ht="27.75" customHeight="1">
      <c r="A36" s="16" t="s">
        <v>165</v>
      </c>
      <c r="B36" s="17" t="s">
        <v>166</v>
      </c>
      <c r="C36" s="16" t="s">
        <v>87</v>
      </c>
      <c r="D36" s="21">
        <v>0.2</v>
      </c>
      <c r="E36" s="19"/>
      <c r="F36" s="32"/>
    </row>
    <row r="37" ht="27.75" customHeight="1">
      <c r="A37" s="16" t="s">
        <v>167</v>
      </c>
      <c r="B37" s="17" t="s">
        <v>168</v>
      </c>
      <c r="C37" s="16" t="s">
        <v>87</v>
      </c>
      <c r="D37" s="21">
        <v>0.2</v>
      </c>
      <c r="E37" s="19"/>
      <c r="F37" s="32"/>
    </row>
    <row r="38" ht="36.0" customHeight="1">
      <c r="A38" s="30" t="s">
        <v>169</v>
      </c>
      <c r="B38" s="2"/>
      <c r="C38" s="2"/>
      <c r="D38" s="2"/>
      <c r="E38" s="2"/>
      <c r="F38" s="3"/>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8:F28"/>
    <mergeCell ref="A38:F38"/>
    <mergeCell ref="A1:F1"/>
    <mergeCell ref="A2:F2"/>
    <mergeCell ref="A3:C3"/>
    <mergeCell ref="D3:F3"/>
    <mergeCell ref="A4:F4"/>
    <mergeCell ref="A8:F8"/>
    <mergeCell ref="A21:F2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52.0"/>
    <col customWidth="1" min="3" max="3" width="9.0"/>
    <col customWidth="1" min="4" max="4" width="14.0"/>
    <col customWidth="1" min="5" max="6" width="22.0"/>
    <col customWidth="1" min="7" max="7" width="14.0"/>
    <col customWidth="1" min="8" max="8" width="10.0"/>
    <col customWidth="1" min="9" max="26" width="8.71"/>
  </cols>
  <sheetData>
    <row r="1" ht="45.0" customHeight="1">
      <c r="A1" s="1" t="s">
        <v>170</v>
      </c>
      <c r="B1" s="2"/>
      <c r="C1" s="2"/>
      <c r="D1" s="2"/>
      <c r="E1" s="2"/>
      <c r="F1" s="2"/>
      <c r="G1" s="2"/>
      <c r="H1" s="3"/>
    </row>
    <row r="2" ht="30.0" customHeight="1">
      <c r="A2" s="4" t="s">
        <v>171</v>
      </c>
      <c r="B2" s="2"/>
      <c r="C2" s="2"/>
      <c r="D2" s="2"/>
      <c r="E2" s="2"/>
      <c r="F2" s="2"/>
      <c r="G2" s="2"/>
      <c r="H2" s="3"/>
    </row>
    <row r="3" ht="39.75" customHeight="1">
      <c r="A3" s="30" t="s">
        <v>172</v>
      </c>
      <c r="B3" s="2"/>
      <c r="C3" s="2"/>
      <c r="D3" s="2"/>
      <c r="E3" s="2"/>
      <c r="F3" s="2"/>
      <c r="G3" s="2"/>
      <c r="H3" s="3"/>
    </row>
    <row r="4" ht="45.0" customHeight="1">
      <c r="A4" s="15" t="s">
        <v>9</v>
      </c>
      <c r="B4" s="15" t="s">
        <v>173</v>
      </c>
      <c r="C4" s="15" t="s">
        <v>11</v>
      </c>
      <c r="D4" s="15" t="s">
        <v>174</v>
      </c>
      <c r="E4" s="15" t="s">
        <v>175</v>
      </c>
      <c r="F4" s="15" t="s">
        <v>176</v>
      </c>
      <c r="G4" s="15" t="s">
        <v>15</v>
      </c>
      <c r="H4" s="15" t="s">
        <v>177</v>
      </c>
    </row>
    <row r="5" ht="19.5" customHeight="1">
      <c r="A5" s="5" t="s">
        <v>178</v>
      </c>
      <c r="B5" s="6"/>
      <c r="C5" s="6"/>
      <c r="D5" s="6"/>
      <c r="E5" s="6"/>
      <c r="F5" s="6"/>
      <c r="G5" s="6"/>
      <c r="H5" s="7"/>
    </row>
    <row r="6" ht="27.75" customHeight="1">
      <c r="A6" s="16" t="s">
        <v>19</v>
      </c>
      <c r="B6" s="17" t="s">
        <v>179</v>
      </c>
      <c r="C6" s="16" t="s">
        <v>21</v>
      </c>
      <c r="D6" s="18">
        <v>420.0</v>
      </c>
      <c r="E6" s="19"/>
      <c r="F6" s="20" t="str">
        <f t="shared" ref="F6:F12" si="1">IF(E6&lt;&gt;"",D6*E6,"")</f>
        <v/>
      </c>
      <c r="G6" s="21">
        <v>0.2</v>
      </c>
      <c r="H6" s="20" t="str">
        <f t="shared" ref="H6:H12" si="2">IF(F6&lt;&gt;"",F6*(1+G6),"")</f>
        <v/>
      </c>
    </row>
    <row r="7" ht="27.75" customHeight="1">
      <c r="A7" s="16" t="s">
        <v>24</v>
      </c>
      <c r="B7" s="17" t="s">
        <v>180</v>
      </c>
      <c r="C7" s="16" t="s">
        <v>21</v>
      </c>
      <c r="D7" s="18">
        <v>120.0</v>
      </c>
      <c r="E7" s="19"/>
      <c r="F7" s="20" t="str">
        <f t="shared" si="1"/>
        <v/>
      </c>
      <c r="G7" s="21">
        <v>0.2</v>
      </c>
      <c r="H7" s="20" t="str">
        <f t="shared" si="2"/>
        <v/>
      </c>
    </row>
    <row r="8" ht="27.75" customHeight="1">
      <c r="A8" s="16" t="s">
        <v>26</v>
      </c>
      <c r="B8" s="17" t="s">
        <v>181</v>
      </c>
      <c r="C8" s="16" t="s">
        <v>28</v>
      </c>
      <c r="D8" s="18">
        <v>380.0</v>
      </c>
      <c r="E8" s="19"/>
      <c r="F8" s="20" t="str">
        <f t="shared" si="1"/>
        <v/>
      </c>
      <c r="G8" s="21">
        <v>0.2</v>
      </c>
      <c r="H8" s="20" t="str">
        <f t="shared" si="2"/>
        <v/>
      </c>
    </row>
    <row r="9" ht="27.75" customHeight="1">
      <c r="A9" s="16" t="s">
        <v>31</v>
      </c>
      <c r="B9" s="17" t="s">
        <v>182</v>
      </c>
      <c r="C9" s="16" t="s">
        <v>21</v>
      </c>
      <c r="D9" s="18">
        <v>180.0</v>
      </c>
      <c r="E9" s="19"/>
      <c r="F9" s="20" t="str">
        <f t="shared" si="1"/>
        <v/>
      </c>
      <c r="G9" s="21">
        <v>0.2</v>
      </c>
      <c r="H9" s="20" t="str">
        <f t="shared" si="2"/>
        <v/>
      </c>
    </row>
    <row r="10" ht="27.75" customHeight="1">
      <c r="A10" s="16" t="s">
        <v>33</v>
      </c>
      <c r="B10" s="17" t="s">
        <v>183</v>
      </c>
      <c r="C10" s="16" t="s">
        <v>35</v>
      </c>
      <c r="D10" s="18">
        <v>30.0</v>
      </c>
      <c r="E10" s="19"/>
      <c r="F10" s="20" t="str">
        <f t="shared" si="1"/>
        <v/>
      </c>
      <c r="G10" s="21">
        <v>0.2</v>
      </c>
      <c r="H10" s="20" t="str">
        <f t="shared" si="2"/>
        <v/>
      </c>
    </row>
    <row r="11" ht="27.75" customHeight="1">
      <c r="A11" s="16" t="s">
        <v>40</v>
      </c>
      <c r="B11" s="17" t="s">
        <v>184</v>
      </c>
      <c r="C11" s="16" t="s">
        <v>21</v>
      </c>
      <c r="D11" s="18">
        <v>260.0</v>
      </c>
      <c r="E11" s="19"/>
      <c r="F11" s="20" t="str">
        <f t="shared" si="1"/>
        <v/>
      </c>
      <c r="G11" s="21">
        <v>0.2</v>
      </c>
      <c r="H11" s="20" t="str">
        <f t="shared" si="2"/>
        <v/>
      </c>
    </row>
    <row r="12" ht="27.75" customHeight="1">
      <c r="A12" s="16" t="s">
        <v>48</v>
      </c>
      <c r="B12" s="17" t="s">
        <v>185</v>
      </c>
      <c r="C12" s="16" t="s">
        <v>21</v>
      </c>
      <c r="D12" s="18">
        <v>210.0</v>
      </c>
      <c r="E12" s="19"/>
      <c r="F12" s="20" t="str">
        <f t="shared" si="1"/>
        <v/>
      </c>
      <c r="G12" s="21">
        <v>0.2</v>
      </c>
      <c r="H12" s="20" t="str">
        <f t="shared" si="2"/>
        <v/>
      </c>
    </row>
    <row r="13" ht="21.75" customHeight="1">
      <c r="A13" s="22" t="s">
        <v>186</v>
      </c>
      <c r="B13" s="23"/>
      <c r="C13" s="23"/>
      <c r="D13" s="23"/>
      <c r="E13" s="24"/>
      <c r="F13" s="25">
        <f>SUMPRODUCT((F6:F12&lt;&gt;"")*IF(ISNUMBER(F6:F12),F6:F12,0))</f>
        <v>0</v>
      </c>
      <c r="G13" s="33"/>
      <c r="H13" s="25">
        <f>SUMPRODUCT((H6:H12&lt;&gt;"")*IF(ISNUMBER(H6:H12),H6:H12,0))</f>
        <v>0</v>
      </c>
    </row>
    <row r="14" ht="19.5" customHeight="1">
      <c r="A14" s="5" t="s">
        <v>187</v>
      </c>
      <c r="B14" s="6"/>
      <c r="C14" s="6"/>
      <c r="D14" s="6"/>
      <c r="E14" s="6"/>
      <c r="F14" s="6"/>
      <c r="G14" s="6"/>
      <c r="H14" s="7"/>
    </row>
    <row r="15" ht="27.75" customHeight="1">
      <c r="A15" s="16" t="s">
        <v>57</v>
      </c>
      <c r="B15" s="17" t="s">
        <v>188</v>
      </c>
      <c r="C15" s="16" t="s">
        <v>21</v>
      </c>
      <c r="D15" s="18">
        <v>530.0</v>
      </c>
      <c r="E15" s="19"/>
      <c r="F15" s="20" t="str">
        <f t="shared" ref="F15:F20" si="3">IF(E15&lt;&gt;"",D15*E15,"")</f>
        <v/>
      </c>
      <c r="G15" s="21">
        <v>0.1</v>
      </c>
      <c r="H15" s="20" t="str">
        <f t="shared" ref="H15:H20" si="4">IF(F15&lt;&gt;"",F15*(1+G15),"")</f>
        <v/>
      </c>
    </row>
    <row r="16" ht="27.75" customHeight="1">
      <c r="A16" s="16" t="s">
        <v>59</v>
      </c>
      <c r="B16" s="17" t="s">
        <v>189</v>
      </c>
      <c r="C16" s="16" t="s">
        <v>28</v>
      </c>
      <c r="D16" s="18">
        <v>480.0</v>
      </c>
      <c r="E16" s="19"/>
      <c r="F16" s="20" t="str">
        <f t="shared" si="3"/>
        <v/>
      </c>
      <c r="G16" s="21">
        <v>0.1</v>
      </c>
      <c r="H16" s="20" t="str">
        <f t="shared" si="4"/>
        <v/>
      </c>
    </row>
    <row r="17" ht="27.75" customHeight="1">
      <c r="A17" s="16" t="s">
        <v>63</v>
      </c>
      <c r="B17" s="17" t="s">
        <v>190</v>
      </c>
      <c r="C17" s="16" t="s">
        <v>21</v>
      </c>
      <c r="D17" s="18">
        <v>220.0</v>
      </c>
      <c r="E17" s="19"/>
      <c r="F17" s="20" t="str">
        <f t="shared" si="3"/>
        <v/>
      </c>
      <c r="G17" s="21">
        <v>0.1</v>
      </c>
      <c r="H17" s="20" t="str">
        <f t="shared" si="4"/>
        <v/>
      </c>
    </row>
    <row r="18" ht="27.75" customHeight="1">
      <c r="A18" s="16" t="s">
        <v>65</v>
      </c>
      <c r="B18" s="17" t="s">
        <v>191</v>
      </c>
      <c r="C18" s="16" t="s">
        <v>35</v>
      </c>
      <c r="D18" s="18">
        <v>39.0</v>
      </c>
      <c r="E18" s="19"/>
      <c r="F18" s="20" t="str">
        <f t="shared" si="3"/>
        <v/>
      </c>
      <c r="G18" s="21">
        <v>0.1</v>
      </c>
      <c r="H18" s="20" t="str">
        <f t="shared" si="4"/>
        <v/>
      </c>
    </row>
    <row r="19" ht="27.75" customHeight="1">
      <c r="A19" s="16" t="s">
        <v>69</v>
      </c>
      <c r="B19" s="17" t="s">
        <v>192</v>
      </c>
      <c r="C19" s="16" t="s">
        <v>21</v>
      </c>
      <c r="D19" s="18">
        <v>320.0</v>
      </c>
      <c r="E19" s="19"/>
      <c r="F19" s="20" t="str">
        <f t="shared" si="3"/>
        <v/>
      </c>
      <c r="G19" s="21">
        <v>0.1</v>
      </c>
      <c r="H19" s="20" t="str">
        <f t="shared" si="4"/>
        <v/>
      </c>
    </row>
    <row r="20" ht="27.75" customHeight="1">
      <c r="A20" s="16" t="s">
        <v>73</v>
      </c>
      <c r="B20" s="17" t="s">
        <v>193</v>
      </c>
      <c r="C20" s="16" t="s">
        <v>21</v>
      </c>
      <c r="D20" s="18">
        <v>190.0</v>
      </c>
      <c r="E20" s="19"/>
      <c r="F20" s="20" t="str">
        <f t="shared" si="3"/>
        <v/>
      </c>
      <c r="G20" s="21">
        <v>0.1</v>
      </c>
      <c r="H20" s="20" t="str">
        <f t="shared" si="4"/>
        <v/>
      </c>
    </row>
    <row r="21" ht="21.75" customHeight="1">
      <c r="A21" s="22" t="s">
        <v>194</v>
      </c>
      <c r="B21" s="23"/>
      <c r="C21" s="23"/>
      <c r="D21" s="23"/>
      <c r="E21" s="24"/>
      <c r="F21" s="25">
        <f>SUMPRODUCT((F15:F20&lt;&gt;"")*IF(ISNUMBER(F15:F20),F15:F20,0))</f>
        <v>0</v>
      </c>
      <c r="G21" s="33"/>
      <c r="H21" s="25">
        <f>SUMPRODUCT((H15:H20&lt;&gt;"")*IF(ISNUMBER(H15:H20),H15:H20,0))</f>
        <v>0</v>
      </c>
    </row>
    <row r="22" ht="19.5" customHeight="1">
      <c r="A22" s="5" t="s">
        <v>195</v>
      </c>
      <c r="B22" s="6"/>
      <c r="C22" s="6"/>
      <c r="D22" s="6"/>
      <c r="E22" s="6"/>
      <c r="F22" s="6"/>
      <c r="G22" s="6"/>
      <c r="H22" s="7"/>
    </row>
    <row r="23" ht="27.75" customHeight="1">
      <c r="A23" s="16" t="s">
        <v>77</v>
      </c>
      <c r="B23" s="17" t="s">
        <v>196</v>
      </c>
      <c r="C23" s="16" t="s">
        <v>21</v>
      </c>
      <c r="D23" s="18">
        <v>280.0</v>
      </c>
      <c r="E23" s="19"/>
      <c r="F23" s="20" t="str">
        <f t="shared" ref="F23:F26" si="5">IF(E23&lt;&gt;"",D23*E23,"")</f>
        <v/>
      </c>
      <c r="G23" s="21">
        <v>0.2</v>
      </c>
      <c r="H23" s="20" t="str">
        <f t="shared" ref="H23:H26" si="6">IF(F23&lt;&gt;"",F23*(1+G23),"")</f>
        <v/>
      </c>
    </row>
    <row r="24" ht="27.75" customHeight="1">
      <c r="A24" s="16" t="s">
        <v>79</v>
      </c>
      <c r="B24" s="17" t="s">
        <v>197</v>
      </c>
      <c r="C24" s="16" t="s">
        <v>28</v>
      </c>
      <c r="D24" s="18">
        <v>120.0</v>
      </c>
      <c r="E24" s="19"/>
      <c r="F24" s="20" t="str">
        <f t="shared" si="5"/>
        <v/>
      </c>
      <c r="G24" s="21">
        <v>0.2</v>
      </c>
      <c r="H24" s="20" t="str">
        <f t="shared" si="6"/>
        <v/>
      </c>
    </row>
    <row r="25" ht="27.75" customHeight="1">
      <c r="A25" s="16" t="s">
        <v>81</v>
      </c>
      <c r="B25" s="17" t="s">
        <v>198</v>
      </c>
      <c r="C25" s="16" t="s">
        <v>28</v>
      </c>
      <c r="D25" s="18">
        <v>320.0</v>
      </c>
      <c r="E25" s="19"/>
      <c r="F25" s="20" t="str">
        <f t="shared" si="5"/>
        <v/>
      </c>
      <c r="G25" s="21">
        <v>0.2</v>
      </c>
      <c r="H25" s="20" t="str">
        <f t="shared" si="6"/>
        <v/>
      </c>
    </row>
    <row r="26" ht="27.75" customHeight="1">
      <c r="A26" s="16" t="s">
        <v>85</v>
      </c>
      <c r="B26" s="17" t="s">
        <v>199</v>
      </c>
      <c r="C26" s="16" t="s">
        <v>87</v>
      </c>
      <c r="D26" s="18">
        <v>1.0</v>
      </c>
      <c r="E26" s="19"/>
      <c r="F26" s="20" t="str">
        <f t="shared" si="5"/>
        <v/>
      </c>
      <c r="G26" s="21">
        <v>0.2</v>
      </c>
      <c r="H26" s="20" t="str">
        <f t="shared" si="6"/>
        <v/>
      </c>
    </row>
    <row r="27" ht="21.75" customHeight="1">
      <c r="A27" s="22" t="s">
        <v>200</v>
      </c>
      <c r="B27" s="23"/>
      <c r="C27" s="23"/>
      <c r="D27" s="23"/>
      <c r="E27" s="24"/>
      <c r="F27" s="25">
        <f>SUMPRODUCT((F23:F26&lt;&gt;"")*IF(ISNUMBER(F23:F26),F23:F26,0))</f>
        <v>0</v>
      </c>
      <c r="G27" s="33"/>
      <c r="H27" s="25">
        <f>SUMPRODUCT((H23:H26&lt;&gt;"")*IF(ISNUMBER(H23:H26),H23:H26,0))</f>
        <v>0</v>
      </c>
    </row>
    <row r="28" ht="15.75" customHeight="1"/>
    <row r="29" ht="21.75" customHeight="1">
      <c r="A29" s="34" t="s">
        <v>201</v>
      </c>
      <c r="B29" s="6"/>
      <c r="C29" s="6"/>
      <c r="D29" s="6"/>
      <c r="E29" s="7"/>
      <c r="F29" s="25">
        <f>(F13+F21+F27)*0.05</f>
        <v>0</v>
      </c>
      <c r="G29" s="33"/>
      <c r="H29" s="25">
        <f>(H13+H21+H27)*0.05</f>
        <v>0</v>
      </c>
    </row>
    <row r="30" ht="27.75" customHeight="1">
      <c r="A30" s="27" t="s">
        <v>202</v>
      </c>
      <c r="B30" s="23"/>
      <c r="C30" s="23"/>
      <c r="D30" s="23"/>
      <c r="E30" s="24"/>
      <c r="F30" s="28">
        <f>F13+F21+F27+F29</f>
        <v>0</v>
      </c>
      <c r="G30" s="29"/>
      <c r="H30" s="28">
        <f>H13+H21+H27+H29</f>
        <v>0</v>
      </c>
    </row>
    <row r="31" ht="15.75" customHeight="1"/>
    <row r="32" ht="49.5" customHeight="1">
      <c r="A32" s="30" t="s">
        <v>203</v>
      </c>
      <c r="B32" s="2"/>
      <c r="C32" s="2"/>
      <c r="D32" s="2"/>
      <c r="E32" s="2"/>
      <c r="F32" s="2"/>
      <c r="G32" s="2"/>
      <c r="H32" s="3"/>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1:E21"/>
    <mergeCell ref="A27:E27"/>
    <mergeCell ref="A29:E29"/>
    <mergeCell ref="A30:E30"/>
    <mergeCell ref="A32:H32"/>
    <mergeCell ref="A1:H1"/>
    <mergeCell ref="A2:H2"/>
    <mergeCell ref="A3:H3"/>
    <mergeCell ref="A5:H5"/>
    <mergeCell ref="A13:E13"/>
    <mergeCell ref="A14:H14"/>
    <mergeCell ref="A22:H2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24.0"/>
    <col customWidth="1" min="3" max="3" width="14.0"/>
    <col customWidth="1" min="4" max="4" width="24.0"/>
    <col customWidth="1" min="5" max="5" width="14.0"/>
    <col customWidth="1" min="6" max="26" width="8.71"/>
  </cols>
  <sheetData>
    <row r="1" ht="49.5" customHeight="1">
      <c r="A1" s="1" t="s">
        <v>204</v>
      </c>
      <c r="B1" s="2"/>
      <c r="C1" s="2"/>
      <c r="D1" s="2"/>
      <c r="E1" s="3"/>
    </row>
    <row r="2" ht="30.0" customHeight="1">
      <c r="A2" s="30" t="s">
        <v>205</v>
      </c>
      <c r="B2" s="2"/>
      <c r="C2" s="2"/>
      <c r="D2" s="2"/>
      <c r="E2" s="3"/>
    </row>
    <row r="4" ht="34.5" customHeight="1">
      <c r="A4" s="15" t="s">
        <v>206</v>
      </c>
      <c r="B4" s="15" t="s">
        <v>207</v>
      </c>
      <c r="C4" s="15" t="s">
        <v>208</v>
      </c>
      <c r="D4" s="15" t="s">
        <v>209</v>
      </c>
      <c r="E4" s="15" t="s">
        <v>210</v>
      </c>
    </row>
    <row r="5" ht="36.0" customHeight="1">
      <c r="A5" s="17" t="s">
        <v>211</v>
      </c>
      <c r="B5" s="17" t="s">
        <v>212</v>
      </c>
      <c r="C5" s="17" t="s">
        <v>213</v>
      </c>
      <c r="D5" s="17" t="s">
        <v>214</v>
      </c>
      <c r="E5" s="17" t="s">
        <v>215</v>
      </c>
    </row>
    <row r="6" ht="36.0" customHeight="1">
      <c r="A6" s="32" t="s">
        <v>216</v>
      </c>
      <c r="B6" s="32" t="s">
        <v>212</v>
      </c>
      <c r="C6" s="32" t="s">
        <v>217</v>
      </c>
      <c r="D6" s="32" t="s">
        <v>214</v>
      </c>
      <c r="E6" s="32" t="s">
        <v>218</v>
      </c>
    </row>
    <row r="7" ht="36.0" customHeight="1">
      <c r="A7" s="17" t="s">
        <v>219</v>
      </c>
      <c r="B7" s="17" t="s">
        <v>220</v>
      </c>
      <c r="C7" s="17" t="s">
        <v>221</v>
      </c>
      <c r="D7" s="17" t="s">
        <v>222</v>
      </c>
      <c r="E7" s="17" t="s">
        <v>223</v>
      </c>
    </row>
    <row r="9" ht="21.75" customHeight="1">
      <c r="A9" s="35" t="s">
        <v>224</v>
      </c>
      <c r="B9" s="6"/>
      <c r="C9" s="6"/>
      <c r="D9" s="6"/>
      <c r="E9" s="7"/>
    </row>
    <row r="10" ht="30.0" customHeight="1">
      <c r="A10" s="36" t="s">
        <v>225</v>
      </c>
      <c r="B10" s="36" t="s">
        <v>226</v>
      </c>
      <c r="C10" s="36" t="s">
        <v>227</v>
      </c>
      <c r="D10" s="36" t="s">
        <v>228</v>
      </c>
      <c r="E10" s="36" t="s">
        <v>229</v>
      </c>
    </row>
    <row r="11" ht="27.75" customHeight="1">
      <c r="A11" s="17" t="s">
        <v>230</v>
      </c>
      <c r="B11" s="17" t="s">
        <v>231</v>
      </c>
      <c r="C11" s="17" t="s">
        <v>232</v>
      </c>
      <c r="D11" s="17" t="s">
        <v>233</v>
      </c>
      <c r="E11" s="17" t="s">
        <v>234</v>
      </c>
    </row>
    <row r="12" ht="27.75" customHeight="1">
      <c r="A12" s="32" t="s">
        <v>235</v>
      </c>
      <c r="B12" s="32" t="s">
        <v>236</v>
      </c>
      <c r="C12" s="32" t="s">
        <v>237</v>
      </c>
      <c r="D12" s="32" t="s">
        <v>238</v>
      </c>
      <c r="E12" s="32" t="s">
        <v>239</v>
      </c>
    </row>
    <row r="13" ht="27.75" customHeight="1">
      <c r="A13" s="17" t="s">
        <v>240</v>
      </c>
      <c r="B13" s="17" t="s">
        <v>241</v>
      </c>
      <c r="C13" s="17" t="s">
        <v>237</v>
      </c>
      <c r="D13" s="17" t="s">
        <v>242</v>
      </c>
      <c r="E13" s="17" t="s">
        <v>239</v>
      </c>
    </row>
    <row r="14" ht="27.75" customHeight="1">
      <c r="A14" s="32" t="s">
        <v>243</v>
      </c>
      <c r="B14" s="32" t="s">
        <v>244</v>
      </c>
      <c r="C14" s="32" t="s">
        <v>232</v>
      </c>
      <c r="D14" s="32" t="s">
        <v>245</v>
      </c>
      <c r="E14" s="32" t="s">
        <v>246</v>
      </c>
    </row>
    <row r="16" ht="49.5" customHeight="1">
      <c r="A16" s="37" t="s">
        <v>247</v>
      </c>
      <c r="B16" s="2"/>
      <c r="C16" s="2"/>
      <c r="D16" s="2"/>
      <c r="E16"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9:E9"/>
    <mergeCell ref="A16:E16"/>
  </mergeCells>
  <printOptions/>
  <pageMargins bottom="1.0" footer="0.0" header="0.0" left="0.75" right="0.75" top="1.0"/>
  <pageSetup paperSize="9" orientation="portrait"/>
  <drawing r:id="rId1"/>
</worksheet>
</file>