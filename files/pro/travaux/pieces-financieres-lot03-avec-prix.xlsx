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GF - Lot 03" sheetId="1" r:id="rId5"/>
    <sheet state="visible" name="BPU - Lot 03" sheetId="2" r:id="rId6"/>
    <sheet state="visible" name="DQE - Lot 03" sheetId="3" r:id="rId7"/>
    <sheet state="visible" name="Récapitulatif" sheetId="4" r:id="rId8"/>
  </sheets>
  <definedNames/>
  <calcPr/>
</workbook>
</file>

<file path=xl/sharedStrings.xml><?xml version="1.0" encoding="utf-8"?>
<sst xmlns="http://schemas.openxmlformats.org/spreadsheetml/2006/main" count="411" uniqueCount="281">
  <si>
    <t>RÉSIDENCE MUSKA — FRONTIGNAN (34110)
DÉCOMPOSITION DU PRIX GLOBAL ET FORFAITAIRE (DPGF)
LOT 03 — CARRELAGE / REVÊTEMENTS DE SOLS ET MURS</t>
  </si>
  <si>
    <t>SCCV Muska / TerraOccitana SAS  —  Architecte : Cabinet B2BA / Pauline Barbat  —  Avril 2026</t>
  </si>
  <si>
    <t>Entreprise candidate :</t>
  </si>
  <si>
    <t>Date de remise de l'offre :</t>
  </si>
  <si>
    <t>PRIX DE RÉFÉRENCE CCTP (fond vert) : prix indicatifs extraits du CCTP Lot 03 V2 — Résidence Muska. Ces prix constituent la base de comparaison. L'entreprise peut proposer des prix différents (fond jaune) mais doit justifier tout écart significatif dans son mémoire technique. Prix CCTP = fourniture + pose sauf mention contraire.</t>
  </si>
  <si>
    <t xml:space="preserve">  Saisie entreprise</t>
  </si>
  <si>
    <t xml:space="preserve">  Référence CCTP pré-remplie</t>
  </si>
  <si>
    <t xml:space="preserve">  Sous-total / Total</t>
  </si>
  <si>
    <t xml:space="preserve">  Section</t>
  </si>
  <si>
    <t>N° Poste</t>
  </si>
  <si>
    <t>Désignation de l'ouvrage</t>
  </si>
  <si>
    <t>Unité</t>
  </si>
  <si>
    <t>Quantité
indicative</t>
  </si>
  <si>
    <t>Prix unitaire HT (€)
Réf. CCTP [vert]
ou saisie [jaune]</t>
  </si>
  <si>
    <t>Montant forfaitaire
HT (€) [à valider]</t>
  </si>
  <si>
    <t>TVA
(%)</t>
  </si>
  <si>
    <t>Montant
TTC (€)</t>
  </si>
  <si>
    <t>SOUS-LOT 03A — SEGMENT LIBRE (30 logements + Parties communes Libre)</t>
  </si>
  <si>
    <t>1. REVÊTEMENTS DE SOLS — PIÈCES SÈCHES (Séjour, Chambres, Dégagements)</t>
  </si>
  <si>
    <t>03A.1.01</t>
  </si>
  <si>
    <t>Fourniture et pose grès cérame imitation travertin 120×120 mm finition soie/lappato (réf. Atlas Concorde Supernova ou Marazzi Travertino). Pose collée, colle C2TE. Joints époxy MAPEI Kerapoxy Design (joint ciment INTERDIT). Inclus : ragréage, préparation support, découpes, joints de fractionnement.</t>
  </si>
  <si>
    <t>m²</t>
  </si>
  <si>
    <t>03A.1.02</t>
  </si>
  <si>
    <t>Plus-value pose en diagonale ou motif décalé (sur prescription architecte B2BA).</t>
  </si>
  <si>
    <t>03A.1.03</t>
  </si>
  <si>
    <t>Fourniture et pose parquet contrecollé chêne 14/3 mm vernis mat (réf. BOEN ou PANAGET) — OPTION CDC Libre. Pose flottante sur sous-couche phonique 5mm.</t>
  </si>
  <si>
    <t>03A.1.04</t>
  </si>
  <si>
    <t>Plinthes laquées blanc haute brillance h=10 cm — fourniture et pose.</t>
  </si>
  <si>
    <t>ml</t>
  </si>
  <si>
    <t>Sous-total 1 — Sols secs Libre HT</t>
  </si>
  <si>
    <t>2. REVÊTEMENTS DE SOLS — PIÈCES HUMIDES (SDB, WC, Cuisines) — Libre</t>
  </si>
  <si>
    <t>03A.2.01</t>
  </si>
  <si>
    <t>Fourniture et pose grès cérame imitation travertin 60×60 mm finition mate antidérapant R9 min. Pose collée C2TE, joints époxy MAPEI Kerapoxy Design. Inclus : découpes, seuils.</t>
  </si>
  <si>
    <t>03A.2.02</t>
  </si>
  <si>
    <t>Fourniture et pose receveur douche italienne / PMR seuil 0 mm grès cérame R11. Inclus : étanchéité SPEC, caniveau inox, rejingot étanche.</t>
  </si>
  <si>
    <t>u</t>
  </si>
  <si>
    <t>03A.2.03</t>
  </si>
  <si>
    <t>Bande d'étanchéité SPEC périphérique sol/mur pièces humides (jonction étanche).</t>
  </si>
  <si>
    <t>Sous-total 2 — Sols humides Libre HT</t>
  </si>
  <si>
    <t>3. REVÊTEMENTS MURAUX — FAÏENCE — Libre</t>
  </si>
  <si>
    <t>03A.3.01</t>
  </si>
  <si>
    <t>Fourniture et pose faïence murale brillante format 7,5×30 mm (gamme prestige, choix architecte B2BA). Pose collée C2TE. Joints époxy MAPEI Kerapoxy Design. Inclus : préparation support, profilés finition angles inox/aluminium anodisé.</t>
  </si>
  <si>
    <t>03A.3.02</t>
  </si>
  <si>
    <t>Profilés finition angles intérieurs et extérieurs inox ou aluminium anodisé.</t>
  </si>
  <si>
    <t>03A.3.03</t>
  </si>
  <si>
    <t>Niche carrelée encastrée SDB (200×300mm) — fourniture et pose.</t>
  </si>
  <si>
    <t>Sous-total 3 — Faïence murale Libre HT</t>
  </si>
  <si>
    <t>4. TERRASSES PRIVATIVES — LIBRE</t>
  </si>
  <si>
    <t>03A.4.01</t>
  </si>
  <si>
    <t>Fourniture et pose pierre travertin véritable 60×60 mm épaisseur 20 mm (réf. ANJOU Travertin). Pose sur plots réglables BUZON (fournis et posés). Inclus : relevés étanchéité, joints ouverts 8mm, accessoires fixation plots.</t>
  </si>
  <si>
    <t>03A.4.02</t>
  </si>
  <si>
    <t>Bandes anti-déversement / bordures périphériques terrasses.</t>
  </si>
  <si>
    <t>Sous-total 4 — Terrasses Libre HT</t>
  </si>
  <si>
    <t>SOUS-LOT 03B — SEGMENT SOCIAL / ABORDABLE (26 logements sociaux + 13 abordables + PC Social)</t>
  </si>
  <si>
    <t>5. REVÊTEMENTS DE SOLS — PIÈCES SÈCHES — Social / Abordable</t>
  </si>
  <si>
    <t>03B.5.01</t>
  </si>
  <si>
    <t>Fourniture et pose grès cérame émaillé 60×60 mm finition mate (réf. Porcelanosa Urbatek, Marazzi, Novoceram ou Ceramiche Keope). Budget fourniture max 25 €/m² (CCTP). Pose collée C1F, joints ciment gris standard. Inclus : préparation support, plinthes carrelage assorties h=8 cm.</t>
  </si>
  <si>
    <t>03B.5.02</t>
  </si>
  <si>
    <t>Plinthes carrelage assorties ou plinthes PVC peintes 60 mm — fourniture et pose.</t>
  </si>
  <si>
    <t>Sous-total 5 — Sols secs Social/Abordable HT</t>
  </si>
  <si>
    <t>6. REVÊTEMENTS DE SOLS — PIÈCES HUMIDES — Social / Abordable</t>
  </si>
  <si>
    <t>03B.6.01</t>
  </si>
  <si>
    <t>Fourniture et pose grès cérame P3 antidérapant 60×60 mm finition mate pièces humides. Budget fourniture max 22 €/m² (CCTP). Pose collée C1F, joints ciment gris.</t>
  </si>
  <si>
    <t>03B.6.02</t>
  </si>
  <si>
    <t>Douche italienne / PMR seuil 0 mm grès cérame R11. Inclus : étanchéité SPEC, caniveau inox standard.</t>
  </si>
  <si>
    <t>Sous-total 6 — Sols humides Social/Abordable HT</t>
  </si>
  <si>
    <t>7. REVÊTEMENTS MURAUX — FAÏENCE — Social / Abordable</t>
  </si>
  <si>
    <t>03B.7.01</t>
  </si>
  <si>
    <t>Fourniture et pose faïence murale 20×30 mm. Budget fourniture max 22 €/m² (CCTP). Pose collée C1F, joints ciment gris. Inclus : profilés plastique finition angles.</t>
  </si>
  <si>
    <t>Sous-total 7 — Faïence Social/Abordable HT</t>
  </si>
  <si>
    <t>8. TERRASSES PRIVATIVES — Social / Abordable</t>
  </si>
  <si>
    <t>03B.8.01</t>
  </si>
  <si>
    <t>Fourniture et pose grès cérame imitation travertin R11 60×60 mm antidérapant. Budget fourniture max 28 €/m² (CCTP). Pose sur chape ou plots standard.</t>
  </si>
  <si>
    <t>Sous-total 8 — Terrasses Social/Abordable HT</t>
  </si>
  <si>
    <t>PARTIES COMMUNES — HALLS, COULOIRS, CIRCULATIONS, ESCALIERS</t>
  </si>
  <si>
    <t>9. REVÊTEMENTS PARTIES COMMUNES</t>
  </si>
  <si>
    <t>03C.9.01</t>
  </si>
  <si>
    <t>Fourniture et pose grès cérame 60×60 mm finition mate halls et circulations. Joints époxy. Inclus : seuils, découpes, raccords avec escaliers.</t>
  </si>
  <si>
    <t>03C.9.02</t>
  </si>
  <si>
    <t>Grès cérame marches escaliers béton + contremarches. Nez de marche inox antidérapant fourni et posé.</t>
  </si>
  <si>
    <t>03C.9.03</t>
  </si>
  <si>
    <t>Plinthes parties communes carrelage assorti.</t>
  </si>
  <si>
    <t>Sous-total 9 — Parties communes HT</t>
  </si>
  <si>
    <t>10. INSTALLATION DE CHANTIER &amp; PRESTATIONS GÉNÉRALES</t>
  </si>
  <si>
    <t>03.10.01</t>
  </si>
  <si>
    <t>Installation et repliement de chantier Lot 03 (protection ouvrages, local matériaux, bâche, nettoyage fin de chantier).</t>
  </si>
  <si>
    <t>ft</t>
  </si>
  <si>
    <t>03.10.02</t>
  </si>
  <si>
    <t>Plans de calepinage soumis à validation architecte B2BA avant travaux.</t>
  </si>
  <si>
    <t>03.10.03</t>
  </si>
  <si>
    <t>Essais et contrôles : planéité (règle 2m), adhérence (test bille), PV résultats remis MOE.</t>
  </si>
  <si>
    <t>03.10.04</t>
  </si>
  <si>
    <t>DOE complet — fiches techniques matériaux, PV essais, plans conformes exécution.</t>
  </si>
  <si>
    <t>Sous-total 10 — Installation &amp; prestations générales HT</t>
  </si>
  <si>
    <t>TOTAL GÉNÉRAL LOT 03 — MONTANT GLOBAL FORFAITAIRE HT</t>
  </si>
  <si>
    <t>⚠  PRIX DE RÉFÉRENCE CCTP (fond vert) : issus du CCTP Lot 03 — Résidence Muska . Budget fourniture max Social/Abordable : 25 €/m² pièces sèches | 22 €/m² pièces humides P3 | 22 €/m² faïence | 28 €/m² terrasses R11. Libre : grès travertin 120×120 soie/lappato | pierre travertin véritable 60×60 ép.20mm ANJOU sur plots BUZON | faïence brillante 7,5×30 mm | joints époxy MAPEI Kerapoxy Design OBLIGATOIRES (joint ciment interdit segment Libre).</t>
  </si>
  <si>
    <t>RÉSIDENCE MUSKA — FRONTIGNAN (34110)
BORDEREAU DES PRIX UNITAIRES (BPU)
LOT 03 — CARRELAGE / REVÊTEMENTS DE SOLS ET MURS</t>
  </si>
  <si>
    <t>Le BPU liste tous les prix unitaires SANS quantités. Devient contractuel à la signature. Sert à chiffrer travaux supplémentaires (TS), TMA acquéreurs, avenants. Fond vert = prix de référence CCTP pré-rempli | Fond jaune = à valider / compléter par l'entreprise. F+P = Fourniture + Pose inclus sauf mention contraire.</t>
  </si>
  <si>
    <t xml:space="preserve">  À compléter</t>
  </si>
  <si>
    <t xml:space="preserve">  Réf. CCTP pré-remplie</t>
  </si>
  <si>
    <t>N° Prix</t>
  </si>
  <si>
    <t>Désignation de la prestation</t>
  </si>
  <si>
    <t>TVA (%)</t>
  </si>
  <si>
    <t>Prix unitaire HT (€)
Réf. CCTP [vert] / Saisie [jaune]</t>
  </si>
  <si>
    <t>Observations / Source CCTP</t>
  </si>
  <si>
    <t>SECTION A — SEGMENT LIBRE — SOLS</t>
  </si>
  <si>
    <t>P.03A.01</t>
  </si>
  <si>
    <t>Grès cérame imitation travertin 120×120 soie/lappato — F+P + joints époxy MAPEI Kerapoxy Design</t>
  </si>
  <si>
    <t>CCTP Libre — Atlas Concorde / Marazzi — joint ciment interdit</t>
  </si>
  <si>
    <t>P.03A.02</t>
  </si>
  <si>
    <t>Plus-value pose en diagonale / motif décalé</t>
  </si>
  <si>
    <t>CCTP Libre</t>
  </si>
  <si>
    <t>P.03A.03</t>
  </si>
  <si>
    <t>Parquet contrecollé chêne 14/3 vernis mat — F+P flottante + sous-couche phonique</t>
  </si>
  <si>
    <t>CCTP Libre — BOEN / PANAGET — option CDC</t>
  </si>
  <si>
    <t>P.03A.04</t>
  </si>
  <si>
    <t>Plinthe laquée blanc haute brillance h=10 cm — F+P</t>
  </si>
  <si>
    <t>P.03A.05</t>
  </si>
  <si>
    <t>Grès cérame 60×60 mat R9 pièces humides — F+P + joints époxy</t>
  </si>
  <si>
    <t>P.03A.06</t>
  </si>
  <si>
    <t>Receveur douche italienne / PMR seuil 0mm grès R11 — inclus SPEC + caniveau inox</t>
  </si>
  <si>
    <t>P.03A.07</t>
  </si>
  <si>
    <t>Bande d'étanchéité SPEC périphérique sol/mur</t>
  </si>
  <si>
    <t>SECTION B — SEGMENT LIBRE — MURS &amp; TERRASSES</t>
  </si>
  <si>
    <t>P.03A.08</t>
  </si>
  <si>
    <t>Faïence murale brillante 7,5×30 mm prestige — F+P + joints époxy MAPEI</t>
  </si>
  <si>
    <t>CCTP Libre — joint ciment interdit</t>
  </si>
  <si>
    <t>P.03A.09</t>
  </si>
  <si>
    <t>Profilé finition angle inox / aluminium anodisé — F+P</t>
  </si>
  <si>
    <t>P.03A.10</t>
  </si>
  <si>
    <t>Niche carrelée encastrée SDB 200×300mm — F+P</t>
  </si>
  <si>
    <t>P.03A.11</t>
  </si>
  <si>
    <t>Pierre travertin véritable 60×60 ép.20mm terrasses sur plots BUZON — F+P</t>
  </si>
  <si>
    <t>CCTP Libre — réf. ANJOU Travertin</t>
  </si>
  <si>
    <t>P.03A.12</t>
  </si>
  <si>
    <t>Bande anti-déversement / bordure périphérique terrasse</t>
  </si>
  <si>
    <t>SECTION C — SEGMENT SOCIAL / ABORDABLE — SOLS</t>
  </si>
  <si>
    <t>P.03B.01</t>
  </si>
  <si>
    <t>Grès cérame émaillé 60×60 mat pièces sèches — F+P + joints ciment gris</t>
  </si>
  <si>
    <t>CCTP Social — fourn. max 25€/m² (Porcelanosa Urbatek, Marazzi, Novoceram, Keope)</t>
  </si>
  <si>
    <t>P.03B.02</t>
  </si>
  <si>
    <t>Grès cérame P3 antidérapant 60×60 pièces humides — F+P</t>
  </si>
  <si>
    <t>CCTP Social — fourn. max 22€/m²</t>
  </si>
  <si>
    <t>P.03B.03</t>
  </si>
  <si>
    <t>Plinthe carrelage assortie OU PVC 60mm peinte — F+P</t>
  </si>
  <si>
    <t>CCTP Social</t>
  </si>
  <si>
    <t>P.03B.04</t>
  </si>
  <si>
    <t>Douche italienne / PMR seuil 0mm grès R11 — inclus SPEC + caniveau inox standard</t>
  </si>
  <si>
    <t>SECTION D — SEGMENT SOCIAL / ABORDABLE — MURS &amp; TERRASSES</t>
  </si>
  <si>
    <t>P.03B.05</t>
  </si>
  <si>
    <t>Faïence murale 20×30 mm — F+P + joints ciment gris</t>
  </si>
  <si>
    <t>P.03B.06</t>
  </si>
  <si>
    <t>Grès cérame imit. travertin R11 60×60 terrasses — F+P sur chape ou plots standard</t>
  </si>
  <si>
    <t>CCTP Social — fourn. max 28€/m²</t>
  </si>
  <si>
    <t>SECTION E — PARTIES COMMUNES &amp; PRESTATIONS GÉNÉRALES</t>
  </si>
  <si>
    <t>P.03C.01</t>
  </si>
  <si>
    <t>Grès cérame 60×60 mat halls / couloirs — F+P + joints époxy</t>
  </si>
  <si>
    <t>CCTP PC</t>
  </si>
  <si>
    <t>P.03C.02</t>
  </si>
  <si>
    <t>Grès cérame marches escaliers + contremarches — F+P</t>
  </si>
  <si>
    <t>P.03C.03</t>
  </si>
  <si>
    <t>Nez de marche inox antidérapant — F+P</t>
  </si>
  <si>
    <t>P.03C.04</t>
  </si>
  <si>
    <t>Plinthe PC carrelage assortie — F+P</t>
  </si>
  <si>
    <t>P.03C.05</t>
  </si>
  <si>
    <t>Ragréage autolissant e=5mm (reprise support avant pose)</t>
  </si>
  <si>
    <t>Prix marché courant</t>
  </si>
  <si>
    <t>P.03C.06</t>
  </si>
  <si>
    <t>Réfection découpe après passage gaines / TS</t>
  </si>
  <si>
    <t>À compléter — TS éventuel</t>
  </si>
  <si>
    <t>P.03C.07</t>
  </si>
  <si>
    <t>Dépose et repose carrelage (TMA acquéreur)</t>
  </si>
  <si>
    <t>P.03C.08</t>
  </si>
  <si>
    <t>Installation de chantier (base, protection, nettoyage)</t>
  </si>
  <si>
    <t>Forfait</t>
  </si>
  <si>
    <t>P.03C.09</t>
  </si>
  <si>
    <t>Plans de calepinage + DOE complet</t>
  </si>
  <si>
    <t>⚠  BPU contractuel une fois signé. Chaque prix = F+P sauf mention. Joints époxy OBLIGATOIRES segment Libre (Kerapoxy Design MAPEI). Joints ciment gris autorisés segment Social/Abordable uniquement.</t>
  </si>
  <si>
    <t>RÉSIDENCE MUSKA — FRONTIGNAN (34110)
DÉTAIL QUANTITATIF ESTIMATIF (DQE)
LOT 03 — CARRELAGE / REVÊTEMENTS DE SOLS ET MURS</t>
  </si>
  <si>
    <t>SCCV Muska / TerraOccitana SAS  —  Économiste : À compléter  —  Base plans PRO B2BA — Avril 2026</t>
  </si>
  <si>
    <t>DQE — Quantités INDICATIVES fournies par l'économiste (base plans PRO). Outil de comparaison homogène des offres. NON contractuel — règlement sur DPGF (prix forfaitaire). Prix unitaires pré-remplis = références CCTP Lot 03 V2. L'entreprise peut proposer ses propres PU dans le BPU — le DQE reste la base de comparaison commune.</t>
  </si>
  <si>
    <t>Désignation</t>
  </si>
  <si>
    <t>Quantité
estimée</t>
  </si>
  <si>
    <t>Prix unitaire HT (€)
Réf. CCTP</t>
  </si>
  <si>
    <t>Montant estimatif HT (€)</t>
  </si>
  <si>
    <t>Montant TTC
estimatif (€)</t>
  </si>
  <si>
    <t>SEGMENT LIBRE</t>
  </si>
  <si>
    <t>Grès cérame travertin 120×120 soie/lappato — F+P joints époxy</t>
  </si>
  <si>
    <t>Parquet contrecollé chêne 14/3 vernis mat (option)</t>
  </si>
  <si>
    <t>Plinthes laquées blanc haute brillance h=10cm</t>
  </si>
  <si>
    <t>Grès cérame 60×60 mat R9 pièces humides — F+P joints époxy</t>
  </si>
  <si>
    <t>Receveur douche italienne / PMR seuil 0mm grès R11</t>
  </si>
  <si>
    <t>Bande étanchéité SPEC périphérique sol/mur</t>
  </si>
  <si>
    <t>Faïence murale brillante 7,5×30 prestige — F+P joints époxy</t>
  </si>
  <si>
    <t>Profilés angle inox/aluminium</t>
  </si>
  <si>
    <t>Niche carrelée SDB 200×300mm</t>
  </si>
  <si>
    <t>Pierre travertin véritable 60×60 ép.20mm terrasses sur plots BUZON — ANJOU</t>
  </si>
  <si>
    <t>Bordures périphériques terrasses</t>
  </si>
  <si>
    <t>Sous-total estimatif Segment Libre HT</t>
  </si>
  <si>
    <t>SEGMENT SOCIAL / ABORDABLE</t>
  </si>
  <si>
    <t>Grès cérame émaillé 60×60 mat pièces sèches — fourn. max 25€/m²</t>
  </si>
  <si>
    <t>Plinthes carrelage assorties ou PVC 60mm peintes</t>
  </si>
  <si>
    <t>Grès cérame P3 antidérapant 60×60 pièces humides — fourn. max 22€/m²</t>
  </si>
  <si>
    <t>Douche italienne / PMR seuil 0mm grès R11</t>
  </si>
  <si>
    <t>Faïence murale 20×30 mm — fourn. max 22€/m²</t>
  </si>
  <si>
    <t>Grès cérame imit. travertin R11 60×60 terrasses — fourn. max 28€/m²</t>
  </si>
  <si>
    <t>Sous-total estimatif Segment Social/Abordable HT</t>
  </si>
  <si>
    <t>PARTIES COMMUNES &amp; PRESTATIONS GÉNÉRALES</t>
  </si>
  <si>
    <t>Grès cérame 60×60 mat halls/couloirs — F+P joints époxy</t>
  </si>
  <si>
    <t>Grès cérame escaliers marches + contremarches</t>
  </si>
  <si>
    <t>Plinthes PC carrelage assortie</t>
  </si>
  <si>
    <t>Installation chantier / plans calepinage / DOE</t>
  </si>
  <si>
    <t>Sous-total estimatif Parties communes &amp; général HT</t>
  </si>
  <si>
    <t>Aléas / Imprévus 5 % (budget CCTP recommandé)</t>
  </si>
  <si>
    <t>TOTAL ESTIMATIF LOT 03 — aléas inclus (base CCTP)</t>
  </si>
  <si>
    <t>Source prix de référence : CCTP Lot 03 V2 — Résidence Muska — Avril 2026. Ces prix sont indicatifs et servent de base de comparaison entre candidats. Le DQE est généralement NON contractuel. Cours Bachelor PI — L'Appel d'Offres en Promotion Immobilière.</t>
  </si>
  <si>
    <t>RÉCAPITULATIF — LOT 03 — CARRELAGE / REVÊTEMENTS
Résidence Muska — SCCV Muska — Frontignan (34110) — Avril 2026 — V2 (prix CCTP intégrés)</t>
  </si>
  <si>
    <t>V2 — Pièces financières avec prix de référence CCTP pré-remplis. Fond vert = issu CCTP Lot 03 V2 | Fond jaune = à compléter par l'entreprise.</t>
  </si>
  <si>
    <t>Document</t>
  </si>
  <si>
    <t>Statut contractuel</t>
  </si>
  <si>
    <t>Usage</t>
  </si>
  <si>
    <t>Rempli par</t>
  </si>
  <si>
    <t>Prix CCTP intégrés ?</t>
  </si>
  <si>
    <t>DPGF — Prix Global Forfaitaire</t>
  </si>
  <si>
    <t>OUI</t>
  </si>
  <si>
    <t>Prix ferme du marché</t>
  </si>
  <si>
    <t>Entreprise</t>
  </si>
  <si>
    <t>Oui — fond vert (modifiables)</t>
  </si>
  <si>
    <t>BPU — Prix Unitaires</t>
  </si>
  <si>
    <t>TS, TMA, avenants</t>
  </si>
  <si>
    <t>DQE — Estimatif</t>
  </si>
  <si>
    <t>NON</t>
  </si>
  <si>
    <t>Comparaison offres</t>
  </si>
  <si>
    <t>Économiste</t>
  </si>
  <si>
    <t>Oui — calcul auto sur base CCTP</t>
  </si>
  <si>
    <t>PRIX DE RÉFÉRENCE CCTP — LOT 03 — RÉSUMÉ</t>
  </si>
  <si>
    <t>Poste / Prestation</t>
  </si>
  <si>
    <t>Segment</t>
  </si>
  <si>
    <t>Budget CCTP fourniture</t>
  </si>
  <si>
    <t>Prix pose estimé</t>
  </si>
  <si>
    <t>Total F+P référence</t>
  </si>
  <si>
    <t>Grès cérame 120×120 soie/lappato</t>
  </si>
  <si>
    <t>Libre</t>
  </si>
  <si>
    <t>Non plafonné</t>
  </si>
  <si>
    <t>~35-40 €/m²</t>
  </si>
  <si>
    <t>85 €/m²</t>
  </si>
  <si>
    <t>Parquet chêne 14/3 vernis mat (option)</t>
  </si>
  <si>
    <t>~25 €/m²</t>
  </si>
  <si>
    <t>95 €/m²</t>
  </si>
  <si>
    <t>Grès cérame 60×60 R9 pièces humides</t>
  </si>
  <si>
    <t>~30 €/m²</t>
  </si>
  <si>
    <t>72 €/m²</t>
  </si>
  <si>
    <t>Faïence brillante 7,5×30 mm</t>
  </si>
  <si>
    <t>68 €/m²</t>
  </si>
  <si>
    <t>Pierre travertin 60×60 ép.20mm ANJOU</t>
  </si>
  <si>
    <t>Libre — terrasses</t>
  </si>
  <si>
    <t>~35 €/m²</t>
  </si>
  <si>
    <t>145 €/m²</t>
  </si>
  <si>
    <t>Grès cérame émaillé 60×60 mat</t>
  </si>
  <si>
    <t>Social/Abordable</t>
  </si>
  <si>
    <t>Max 25 €/m²</t>
  </si>
  <si>
    <t>~15 €/m²</t>
  </si>
  <si>
    <t>40 €/m²</t>
  </si>
  <si>
    <t>Grès cérame P3 antidérap. 60×60</t>
  </si>
  <si>
    <t>Max 22 €/m²</t>
  </si>
  <si>
    <t>37 €/m²</t>
  </si>
  <si>
    <t>Faïence murale 20×30 mm</t>
  </si>
  <si>
    <t>~16 €/m²</t>
  </si>
  <si>
    <t>38 €/m²</t>
  </si>
  <si>
    <t>Grès cérame R11 60×60 terrasses</t>
  </si>
  <si>
    <t>Max 28 €/m²</t>
  </si>
  <si>
    <t>~18 €/m²</t>
  </si>
  <si>
    <t>46 €/m²</t>
  </si>
  <si>
    <t>Joints époxy MAPEI Kerapoxy Design</t>
  </si>
  <si>
    <t>Libre (OBLIGATOIRE)</t>
  </si>
  <si>
    <t>~5-8 €/ml</t>
  </si>
  <si>
    <t>—</t>
  </si>
  <si>
    <t>Inclus dans PU carrelage</t>
  </si>
  <si>
    <t>Joints ciment gris standard</t>
  </si>
  <si>
    <t>Autorisé</t>
  </si>
  <si>
    <t>⚠  RAPPEL CCTP — Joints époxy MAPEI Kerapoxy Design OBLIGATOIRES segment Libre (joint ciment blanc INTERDIT). Plots BUZON obligatoires terrasses Libre (pierre travertin véritable ANJOU). TVA 10% sur logements sociaux Hérault Habitat (26) + abordables PSLA/BRS (13). TVA 20% sur logements libres (30) + PC.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</si>
</sst>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€&quot;"/>
  </numFmts>
  <fonts count="16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10.0"/>
      <color rgb="FF1F3864"/>
      <name val="Arial"/>
    </font>
    <font>
      <b/>
      <sz val="10.0"/>
      <color rgb="FF0000FF"/>
      <name val="Arial"/>
    </font>
    <font>
      <i/>
      <sz val="9.0"/>
      <color rgb="FF1F3864"/>
      <name val="Arial"/>
    </font>
    <font>
      <sz val="9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375623"/>
      <name val="Arial"/>
    </font>
    <font>
      <b/>
      <sz val="10.0"/>
      <color theme="1"/>
      <name val="Arial"/>
    </font>
    <font>
      <b/>
      <sz val="12.0"/>
      <color rgb="FFFFFFFF"/>
      <name val="Arial"/>
    </font>
    <font>
      <b/>
      <i/>
      <sz val="9.0"/>
      <color rgb="FF856404"/>
      <name val="Arial"/>
    </font>
    <font>
      <b/>
      <sz val="10.0"/>
      <color rgb="FF85640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3CD"/>
        <bgColor rgb="FFFFF3CD"/>
      </patternFill>
    </fill>
    <fill>
      <patternFill patternType="solid">
        <fgColor rgb="FFF2F2F2"/>
        <bgColor rgb="FFF2F2F2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/>
      <top style="medium">
        <color rgb="FF1F3864"/>
      </top>
      <bottom style="medium">
        <color rgb="FF1F3864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5" numFmtId="164" xfId="0" applyAlignment="1" applyBorder="1" applyFill="1" applyFont="1" applyNumberFormat="1">
      <alignment horizontal="right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7" fillId="5" fontId="7" numFmtId="0" xfId="0" applyAlignment="1" applyBorder="1" applyFont="1">
      <alignment horizontal="left" shrinkToFit="0" vertical="center" wrapText="0"/>
    </xf>
    <xf borderId="7" fillId="6" fontId="8" numFmtId="0" xfId="0" applyAlignment="1" applyBorder="1" applyFill="1" applyFont="1">
      <alignment shrinkToFit="0" vertical="bottom" wrapText="0"/>
    </xf>
    <xf borderId="7" fillId="7" fontId="7" numFmtId="0" xfId="0" applyAlignment="1" applyBorder="1" applyFill="1" applyFont="1">
      <alignment horizontal="left" shrinkToFit="0" vertical="center" wrapText="0"/>
    </xf>
    <xf borderId="7" fillId="8" fontId="7" numFmtId="0" xfId="0" applyAlignment="1" applyBorder="1" applyFill="1" applyFont="1">
      <alignment horizontal="left" shrinkToFit="0" vertical="center" wrapText="0"/>
    </xf>
    <xf borderId="7" fillId="4" fontId="7" numFmtId="0" xfId="0" applyAlignment="1" applyBorder="1" applyFont="1">
      <alignment horizontal="left" shrinkToFit="0" vertical="center" wrapText="0"/>
    </xf>
    <xf borderId="7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left" shrinkToFit="0" vertical="center" wrapText="1"/>
    </xf>
    <xf borderId="7" fillId="6" fontId="10" numFmtId="0" xfId="0" applyAlignment="1" applyBorder="1" applyFont="1">
      <alignment horizontal="center" shrinkToFit="0" vertical="center" wrapText="1"/>
    </xf>
    <xf borderId="7" fillId="6" fontId="10" numFmtId="0" xfId="0" applyAlignment="1" applyBorder="1" applyFont="1">
      <alignment horizontal="left" shrinkToFit="0" vertical="center" wrapText="1"/>
    </xf>
    <xf borderId="7" fillId="6" fontId="10" numFmtId="4" xfId="0" applyAlignment="1" applyBorder="1" applyFont="1" applyNumberFormat="1">
      <alignment horizontal="center" shrinkToFit="0" vertical="center" wrapText="1"/>
    </xf>
    <xf borderId="7" fillId="7" fontId="11" numFmtId="164" xfId="0" applyAlignment="1" applyBorder="1" applyFont="1" applyNumberFormat="1">
      <alignment horizontal="right" shrinkToFit="0" vertical="center" wrapText="0"/>
    </xf>
    <xf borderId="7" fillId="7" fontId="10" numFmtId="164" xfId="0" applyAlignment="1" applyBorder="1" applyFont="1" applyNumberFormat="1">
      <alignment horizontal="right" shrinkToFit="0" vertical="center" wrapText="0"/>
    </xf>
    <xf borderId="7" fillId="6" fontId="10" numFmtId="9" xfId="0" applyAlignment="1" applyBorder="1" applyFont="1" applyNumberFormat="1">
      <alignment horizontal="center" shrinkToFit="0" vertical="center" wrapText="0"/>
    </xf>
    <xf borderId="8" fillId="8" fontId="12" numFmtId="164" xfId="0" applyAlignment="1" applyBorder="1" applyFont="1" applyNumberFormat="1">
      <alignment horizontal="left"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8" fontId="12" numFmtId="164" xfId="0" applyAlignment="1" applyBorder="1" applyFont="1" applyNumberFormat="1">
      <alignment horizontal="right" shrinkToFit="0" vertical="center" wrapText="0"/>
    </xf>
    <xf borderId="11" fillId="8" fontId="8" numFmtId="0" xfId="0" applyAlignment="1" applyBorder="1" applyFont="1">
      <alignment shrinkToFit="0" vertical="bottom" wrapText="0"/>
    </xf>
    <xf borderId="8" fillId="2" fontId="13" numFmtId="0" xfId="0" applyAlignment="1" applyBorder="1" applyFont="1">
      <alignment horizontal="left" shrinkToFit="0" vertical="center" wrapText="0"/>
    </xf>
    <xf borderId="11" fillId="2" fontId="13" numFmtId="164" xfId="0" applyAlignment="1" applyBorder="1" applyFont="1" applyNumberFormat="1">
      <alignment shrinkToFit="0" vertical="bottom" wrapText="0"/>
    </xf>
    <xf borderId="11" fillId="2" fontId="8" numFmtId="0" xfId="0" applyAlignment="1" applyBorder="1" applyFont="1">
      <alignment shrinkToFit="0" vertical="bottom" wrapText="0"/>
    </xf>
    <xf borderId="4" fillId="9" fontId="14" numFmtId="0" xfId="0" applyAlignment="1" applyBorder="1" applyFill="1" applyFont="1">
      <alignment horizontal="left" readingOrder="0" shrinkToFit="0" vertical="center" wrapText="1"/>
    </xf>
    <xf borderId="7" fillId="10" fontId="10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7" fillId="5" fontId="5" numFmtId="164" xfId="0" applyAlignment="1" applyBorder="1" applyFont="1" applyNumberFormat="1">
      <alignment horizontal="right" shrinkToFit="0" vertical="center" wrapText="0"/>
    </xf>
    <xf borderId="4" fillId="9" fontId="14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left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7" fillId="7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56.0"/>
    <col customWidth="1" min="3" max="3" width="9.0"/>
    <col customWidth="1" min="4" max="4" width="12.0"/>
    <col customWidth="1" min="5" max="5" width="20.0"/>
    <col customWidth="1" min="6" max="6" width="22.0"/>
    <col customWidth="1" min="7" max="7" width="9.0"/>
    <col customWidth="1" min="8" max="8" width="20.0"/>
    <col customWidth="1" min="9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3"/>
    </row>
    <row r="2" ht="27.75" customHeight="1">
      <c r="A2" s="4" t="s">
        <v>1</v>
      </c>
      <c r="B2" s="2"/>
      <c r="C2" s="2"/>
      <c r="D2" s="2"/>
      <c r="E2" s="2"/>
      <c r="F2" s="2"/>
      <c r="G2" s="2"/>
      <c r="H2" s="3"/>
    </row>
    <row r="3" ht="15.0" customHeight="1">
      <c r="A3" s="5" t="s">
        <v>2</v>
      </c>
      <c r="B3" s="6"/>
      <c r="C3" s="6"/>
      <c r="D3" s="7"/>
      <c r="E3" s="8"/>
      <c r="F3" s="6"/>
      <c r="G3" s="6"/>
      <c r="H3" s="7"/>
    </row>
    <row r="4" ht="15.0" customHeight="1">
      <c r="A4" s="5" t="s">
        <v>3</v>
      </c>
      <c r="B4" s="6"/>
      <c r="C4" s="6"/>
      <c r="D4" s="7"/>
      <c r="E4" s="8"/>
      <c r="F4" s="6"/>
      <c r="G4" s="6"/>
      <c r="H4" s="7"/>
    </row>
    <row r="5" ht="39.75" customHeight="1">
      <c r="A5" s="9" t="s">
        <v>4</v>
      </c>
      <c r="B5" s="6"/>
      <c r="C5" s="6"/>
      <c r="D5" s="6"/>
      <c r="E5" s="6"/>
      <c r="F5" s="6"/>
      <c r="G5" s="6"/>
      <c r="H5" s="7"/>
    </row>
    <row r="6" ht="18.0" customHeight="1">
      <c r="A6" s="10" t="s">
        <v>5</v>
      </c>
      <c r="B6" s="11"/>
      <c r="C6" s="12" t="s">
        <v>6</v>
      </c>
      <c r="D6" s="11"/>
      <c r="E6" s="13" t="s">
        <v>7</v>
      </c>
      <c r="F6" s="11"/>
      <c r="G6" s="14" t="s">
        <v>8</v>
      </c>
      <c r="H6" s="11"/>
    </row>
    <row r="7" ht="49.5" customHeight="1">
      <c r="A7" s="15" t="s">
        <v>9</v>
      </c>
      <c r="B7" s="15" t="s">
        <v>10</v>
      </c>
      <c r="C7" s="15" t="s">
        <v>11</v>
      </c>
      <c r="D7" s="15" t="s">
        <v>12</v>
      </c>
      <c r="E7" s="15" t="s">
        <v>13</v>
      </c>
      <c r="F7" s="15" t="s">
        <v>14</v>
      </c>
      <c r="G7" s="15" t="s">
        <v>15</v>
      </c>
      <c r="H7" s="15" t="s">
        <v>16</v>
      </c>
    </row>
    <row r="8" ht="19.5" customHeight="1">
      <c r="A8" s="16" t="s">
        <v>17</v>
      </c>
      <c r="B8" s="6"/>
      <c r="C8" s="6"/>
      <c r="D8" s="6"/>
      <c r="E8" s="6"/>
      <c r="F8" s="6"/>
      <c r="G8" s="6"/>
      <c r="H8" s="7"/>
    </row>
    <row r="9" ht="19.5" customHeight="1">
      <c r="A9" s="5" t="s">
        <v>18</v>
      </c>
      <c r="B9" s="6"/>
      <c r="C9" s="6"/>
      <c r="D9" s="6"/>
      <c r="E9" s="6"/>
      <c r="F9" s="6"/>
      <c r="G9" s="6"/>
      <c r="H9" s="7"/>
    </row>
    <row r="10" ht="30.0" customHeight="1">
      <c r="A10" s="17" t="s">
        <v>19</v>
      </c>
      <c r="B10" s="18" t="s">
        <v>20</v>
      </c>
      <c r="C10" s="17" t="s">
        <v>21</v>
      </c>
      <c r="D10" s="19">
        <v>420.0</v>
      </c>
      <c r="E10" s="20">
        <v>85.0</v>
      </c>
      <c r="F10" s="21">
        <f t="shared" ref="F10:F13" si="1">IF(E10&lt;&gt;"",E10*D10,"")</f>
        <v>35700</v>
      </c>
      <c r="G10" s="22">
        <v>0.2</v>
      </c>
      <c r="H10" s="21">
        <f t="shared" ref="H10:H13" si="2">IF(F10&lt;&gt;"",F10*(1+G10),"")</f>
        <v>42840</v>
      </c>
    </row>
    <row r="11" ht="30.0" customHeight="1">
      <c r="A11" s="17" t="s">
        <v>22</v>
      </c>
      <c r="B11" s="18" t="s">
        <v>23</v>
      </c>
      <c r="C11" s="17" t="s">
        <v>21</v>
      </c>
      <c r="D11" s="19">
        <v>80.0</v>
      </c>
      <c r="E11" s="20">
        <v>12.0</v>
      </c>
      <c r="F11" s="21">
        <f t="shared" si="1"/>
        <v>960</v>
      </c>
      <c r="G11" s="22">
        <v>0.2</v>
      </c>
      <c r="H11" s="21">
        <f t="shared" si="2"/>
        <v>1152</v>
      </c>
    </row>
    <row r="12" ht="30.0" customHeight="1">
      <c r="A12" s="17" t="s">
        <v>24</v>
      </c>
      <c r="B12" s="18" t="s">
        <v>25</v>
      </c>
      <c r="C12" s="17" t="s">
        <v>21</v>
      </c>
      <c r="D12" s="19">
        <v>120.0</v>
      </c>
      <c r="E12" s="20">
        <v>95.0</v>
      </c>
      <c r="F12" s="21">
        <f t="shared" si="1"/>
        <v>11400</v>
      </c>
      <c r="G12" s="22">
        <v>0.2</v>
      </c>
      <c r="H12" s="21">
        <f t="shared" si="2"/>
        <v>13680</v>
      </c>
    </row>
    <row r="13" ht="30.0" customHeight="1">
      <c r="A13" s="17" t="s">
        <v>26</v>
      </c>
      <c r="B13" s="18" t="s">
        <v>27</v>
      </c>
      <c r="C13" s="17" t="s">
        <v>28</v>
      </c>
      <c r="D13" s="19">
        <v>380.0</v>
      </c>
      <c r="E13" s="20">
        <v>18.0</v>
      </c>
      <c r="F13" s="21">
        <f t="shared" si="1"/>
        <v>6840</v>
      </c>
      <c r="G13" s="22">
        <v>0.2</v>
      </c>
      <c r="H13" s="21">
        <f t="shared" si="2"/>
        <v>8208</v>
      </c>
    </row>
    <row r="14" ht="21.75" customHeight="1">
      <c r="A14" s="23" t="s">
        <v>29</v>
      </c>
      <c r="B14" s="24"/>
      <c r="C14" s="24"/>
      <c r="D14" s="24"/>
      <c r="E14" s="25"/>
      <c r="F14" s="26">
        <f>SUMPRODUCT((ISNUMBER(F10:F13))*F10:F13)</f>
        <v>54900</v>
      </c>
      <c r="G14" s="27"/>
      <c r="H14" s="26">
        <f>SUMPRODUCT((ISNUMBER(H10:H13))*H10:H13)</f>
        <v>65880</v>
      </c>
    </row>
    <row r="15" ht="19.5" customHeight="1">
      <c r="A15" s="5" t="s">
        <v>30</v>
      </c>
      <c r="B15" s="6"/>
      <c r="C15" s="6"/>
      <c r="D15" s="6"/>
      <c r="E15" s="6"/>
      <c r="F15" s="6"/>
      <c r="G15" s="6"/>
      <c r="H15" s="7"/>
    </row>
    <row r="16" ht="30.0" customHeight="1">
      <c r="A16" s="17" t="s">
        <v>31</v>
      </c>
      <c r="B16" s="18" t="s">
        <v>32</v>
      </c>
      <c r="C16" s="17" t="s">
        <v>21</v>
      </c>
      <c r="D16" s="19">
        <v>180.0</v>
      </c>
      <c r="E16" s="20">
        <v>72.0</v>
      </c>
      <c r="F16" s="21">
        <f t="shared" ref="F16:F18" si="3">IF(E16&lt;&gt;"",E16*D16,"")</f>
        <v>12960</v>
      </c>
      <c r="G16" s="22">
        <v>0.2</v>
      </c>
      <c r="H16" s="21">
        <f t="shared" ref="H16:H18" si="4">IF(F16&lt;&gt;"",F16*(1+G16),"")</f>
        <v>15552</v>
      </c>
    </row>
    <row r="17" ht="30.0" customHeight="1">
      <c r="A17" s="17" t="s">
        <v>33</v>
      </c>
      <c r="B17" s="18" t="s">
        <v>34</v>
      </c>
      <c r="C17" s="17" t="s">
        <v>35</v>
      </c>
      <c r="D17" s="19">
        <v>30.0</v>
      </c>
      <c r="E17" s="20">
        <v>380.0</v>
      </c>
      <c r="F17" s="21">
        <f t="shared" si="3"/>
        <v>11400</v>
      </c>
      <c r="G17" s="22">
        <v>0.2</v>
      </c>
      <c r="H17" s="21">
        <f t="shared" si="4"/>
        <v>13680</v>
      </c>
    </row>
    <row r="18" ht="30.0" customHeight="1">
      <c r="A18" s="17" t="s">
        <v>36</v>
      </c>
      <c r="B18" s="18" t="s">
        <v>37</v>
      </c>
      <c r="C18" s="17" t="s">
        <v>28</v>
      </c>
      <c r="D18" s="19">
        <v>240.0</v>
      </c>
      <c r="E18" s="20">
        <v>8.5</v>
      </c>
      <c r="F18" s="21">
        <f t="shared" si="3"/>
        <v>2040</v>
      </c>
      <c r="G18" s="22">
        <v>0.2</v>
      </c>
      <c r="H18" s="21">
        <f t="shared" si="4"/>
        <v>2448</v>
      </c>
    </row>
    <row r="19" ht="21.75" customHeight="1">
      <c r="A19" s="23" t="s">
        <v>38</v>
      </c>
      <c r="B19" s="24"/>
      <c r="C19" s="24"/>
      <c r="D19" s="24"/>
      <c r="E19" s="25"/>
      <c r="F19" s="26">
        <f>SUMPRODUCT((ISNUMBER(F16:F18))*F16:F18)</f>
        <v>26400</v>
      </c>
      <c r="G19" s="27"/>
      <c r="H19" s="26">
        <f>SUMPRODUCT((ISNUMBER(H16:H18))*H16:H18)</f>
        <v>31680</v>
      </c>
    </row>
    <row r="20" ht="19.5" customHeight="1">
      <c r="A20" s="5" t="s">
        <v>39</v>
      </c>
      <c r="B20" s="6"/>
      <c r="C20" s="6"/>
      <c r="D20" s="6"/>
      <c r="E20" s="6"/>
      <c r="F20" s="6"/>
      <c r="G20" s="6"/>
      <c r="H20" s="7"/>
    </row>
    <row r="21" ht="30.0" customHeight="1">
      <c r="A21" s="17" t="s">
        <v>40</v>
      </c>
      <c r="B21" s="18" t="s">
        <v>41</v>
      </c>
      <c r="C21" s="17" t="s">
        <v>21</v>
      </c>
      <c r="D21" s="19">
        <v>260.0</v>
      </c>
      <c r="E21" s="20">
        <v>68.0</v>
      </c>
      <c r="F21" s="21">
        <f t="shared" ref="F21:F23" si="5">IF(E21&lt;&gt;"",E21*D21,"")</f>
        <v>17680</v>
      </c>
      <c r="G21" s="22">
        <v>0.2</v>
      </c>
      <c r="H21" s="21">
        <f t="shared" ref="H21:H23" si="6">IF(F21&lt;&gt;"",F21*(1+G21),"")</f>
        <v>21216</v>
      </c>
    </row>
    <row r="22" ht="30.0" customHeight="1">
      <c r="A22" s="17" t="s">
        <v>42</v>
      </c>
      <c r="B22" s="18" t="s">
        <v>43</v>
      </c>
      <c r="C22" s="17" t="s">
        <v>28</v>
      </c>
      <c r="D22" s="19">
        <v>180.0</v>
      </c>
      <c r="E22" s="20">
        <v>12.0</v>
      </c>
      <c r="F22" s="21">
        <f t="shared" si="5"/>
        <v>2160</v>
      </c>
      <c r="G22" s="22">
        <v>0.2</v>
      </c>
      <c r="H22" s="21">
        <f t="shared" si="6"/>
        <v>2592</v>
      </c>
    </row>
    <row r="23" ht="30.0" customHeight="1">
      <c r="A23" s="17" t="s">
        <v>44</v>
      </c>
      <c r="B23" s="18" t="s">
        <v>45</v>
      </c>
      <c r="C23" s="17" t="s">
        <v>35</v>
      </c>
      <c r="D23" s="19">
        <v>30.0</v>
      </c>
      <c r="E23" s="20">
        <v>95.0</v>
      </c>
      <c r="F23" s="21">
        <f t="shared" si="5"/>
        <v>2850</v>
      </c>
      <c r="G23" s="22">
        <v>0.2</v>
      </c>
      <c r="H23" s="21">
        <f t="shared" si="6"/>
        <v>3420</v>
      </c>
    </row>
    <row r="24" ht="21.75" customHeight="1">
      <c r="A24" s="23" t="s">
        <v>46</v>
      </c>
      <c r="B24" s="24"/>
      <c r="C24" s="24"/>
      <c r="D24" s="24"/>
      <c r="E24" s="25"/>
      <c r="F24" s="26">
        <f>SUMPRODUCT((ISNUMBER(F21:F23))*F21:F23)</f>
        <v>22690</v>
      </c>
      <c r="G24" s="27"/>
      <c r="H24" s="26">
        <f>SUMPRODUCT((ISNUMBER(H21:H23))*H21:H23)</f>
        <v>27228</v>
      </c>
    </row>
    <row r="25" ht="19.5" customHeight="1">
      <c r="A25" s="5" t="s">
        <v>47</v>
      </c>
      <c r="B25" s="6"/>
      <c r="C25" s="6"/>
      <c r="D25" s="6"/>
      <c r="E25" s="6"/>
      <c r="F25" s="6"/>
      <c r="G25" s="6"/>
      <c r="H25" s="7"/>
    </row>
    <row r="26" ht="30.0" customHeight="1">
      <c r="A26" s="17" t="s">
        <v>48</v>
      </c>
      <c r="B26" s="18" t="s">
        <v>49</v>
      </c>
      <c r="C26" s="17" t="s">
        <v>21</v>
      </c>
      <c r="D26" s="19">
        <v>210.0</v>
      </c>
      <c r="E26" s="20">
        <v>145.0</v>
      </c>
      <c r="F26" s="21">
        <f t="shared" ref="F26:F27" si="7">IF(E26&lt;&gt;"",E26*D26,"")</f>
        <v>30450</v>
      </c>
      <c r="G26" s="22">
        <v>0.2</v>
      </c>
      <c r="H26" s="21">
        <f t="shared" ref="H26:H27" si="8">IF(F26&lt;&gt;"",F26*(1+G26),"")</f>
        <v>36540</v>
      </c>
    </row>
    <row r="27" ht="30.0" customHeight="1">
      <c r="A27" s="17" t="s">
        <v>50</v>
      </c>
      <c r="B27" s="18" t="s">
        <v>51</v>
      </c>
      <c r="C27" s="17" t="s">
        <v>28</v>
      </c>
      <c r="D27" s="19">
        <v>160.0</v>
      </c>
      <c r="E27" s="20">
        <v>22.0</v>
      </c>
      <c r="F27" s="21">
        <f t="shared" si="7"/>
        <v>3520</v>
      </c>
      <c r="G27" s="22">
        <v>0.2</v>
      </c>
      <c r="H27" s="21">
        <f t="shared" si="8"/>
        <v>4224</v>
      </c>
    </row>
    <row r="28" ht="21.75" customHeight="1">
      <c r="A28" s="23" t="s">
        <v>52</v>
      </c>
      <c r="B28" s="24"/>
      <c r="C28" s="24"/>
      <c r="D28" s="24"/>
      <c r="E28" s="25"/>
      <c r="F28" s="26">
        <f>SUMPRODUCT((ISNUMBER(F26:F27))*F26:F27)</f>
        <v>33970</v>
      </c>
      <c r="G28" s="27"/>
      <c r="H28" s="26">
        <f>SUMPRODUCT((ISNUMBER(H26:H27))*H26:H27)</f>
        <v>40764</v>
      </c>
    </row>
    <row r="29" ht="19.5" customHeight="1">
      <c r="A29" s="16" t="s">
        <v>53</v>
      </c>
      <c r="B29" s="6"/>
      <c r="C29" s="6"/>
      <c r="D29" s="6"/>
      <c r="E29" s="6"/>
      <c r="F29" s="6"/>
      <c r="G29" s="6"/>
      <c r="H29" s="7"/>
    </row>
    <row r="30" ht="19.5" customHeight="1">
      <c r="A30" s="5" t="s">
        <v>54</v>
      </c>
      <c r="B30" s="6"/>
      <c r="C30" s="6"/>
      <c r="D30" s="6"/>
      <c r="E30" s="6"/>
      <c r="F30" s="6"/>
      <c r="G30" s="6"/>
      <c r="H30" s="7"/>
    </row>
    <row r="31" ht="30.0" customHeight="1">
      <c r="A31" s="17" t="s">
        <v>55</v>
      </c>
      <c r="B31" s="18" t="s">
        <v>56</v>
      </c>
      <c r="C31" s="17" t="s">
        <v>21</v>
      </c>
      <c r="D31" s="19">
        <v>530.0</v>
      </c>
      <c r="E31" s="20">
        <v>40.0</v>
      </c>
      <c r="F31" s="21">
        <f t="shared" ref="F31:F32" si="9">IF(E31&lt;&gt;"",E31*D31,"")</f>
        <v>21200</v>
      </c>
      <c r="G31" s="22">
        <v>0.1</v>
      </c>
      <c r="H31" s="21">
        <f t="shared" ref="H31:H32" si="10">IF(F31&lt;&gt;"",F31*(1+G31),"")</f>
        <v>23320</v>
      </c>
    </row>
    <row r="32" ht="30.0" customHeight="1">
      <c r="A32" s="17" t="s">
        <v>57</v>
      </c>
      <c r="B32" s="18" t="s">
        <v>58</v>
      </c>
      <c r="C32" s="17" t="s">
        <v>28</v>
      </c>
      <c r="D32" s="19">
        <v>480.0</v>
      </c>
      <c r="E32" s="20">
        <v>9.0</v>
      </c>
      <c r="F32" s="21">
        <f t="shared" si="9"/>
        <v>4320</v>
      </c>
      <c r="G32" s="22">
        <v>0.1</v>
      </c>
      <c r="H32" s="21">
        <f t="shared" si="10"/>
        <v>4752</v>
      </c>
    </row>
    <row r="33" ht="21.75" customHeight="1">
      <c r="A33" s="23" t="s">
        <v>59</v>
      </c>
      <c r="B33" s="24"/>
      <c r="C33" s="24"/>
      <c r="D33" s="24"/>
      <c r="E33" s="25"/>
      <c r="F33" s="26">
        <f>SUMPRODUCT((ISNUMBER(F31:F32))*F31:F32)</f>
        <v>25520</v>
      </c>
      <c r="G33" s="27"/>
      <c r="H33" s="26">
        <f>SUMPRODUCT((ISNUMBER(H31:H32))*H31:H32)</f>
        <v>28072</v>
      </c>
    </row>
    <row r="34" ht="19.5" customHeight="1">
      <c r="A34" s="5" t="s">
        <v>60</v>
      </c>
      <c r="B34" s="6"/>
      <c r="C34" s="6"/>
      <c r="D34" s="6"/>
      <c r="E34" s="6"/>
      <c r="F34" s="6"/>
      <c r="G34" s="6"/>
      <c r="H34" s="7"/>
    </row>
    <row r="35" ht="30.0" customHeight="1">
      <c r="A35" s="17" t="s">
        <v>61</v>
      </c>
      <c r="B35" s="18" t="s">
        <v>62</v>
      </c>
      <c r="C35" s="17" t="s">
        <v>21</v>
      </c>
      <c r="D35" s="19">
        <v>220.0</v>
      </c>
      <c r="E35" s="20">
        <v>37.0</v>
      </c>
      <c r="F35" s="21">
        <f t="shared" ref="F35:F36" si="11">IF(E35&lt;&gt;"",E35*D35,"")</f>
        <v>8140</v>
      </c>
      <c r="G35" s="22">
        <v>0.1</v>
      </c>
      <c r="H35" s="21">
        <f t="shared" ref="H35:H36" si="12">IF(F35&lt;&gt;"",F35*(1+G35),"")</f>
        <v>8954</v>
      </c>
    </row>
    <row r="36" ht="30.0" customHeight="1">
      <c r="A36" s="17" t="s">
        <v>63</v>
      </c>
      <c r="B36" s="18" t="s">
        <v>64</v>
      </c>
      <c r="C36" s="17" t="s">
        <v>35</v>
      </c>
      <c r="D36" s="19">
        <v>39.0</v>
      </c>
      <c r="E36" s="20">
        <v>280.0</v>
      </c>
      <c r="F36" s="21">
        <f t="shared" si="11"/>
        <v>10920</v>
      </c>
      <c r="G36" s="22">
        <v>0.1</v>
      </c>
      <c r="H36" s="21">
        <f t="shared" si="12"/>
        <v>12012</v>
      </c>
    </row>
    <row r="37" ht="21.75" customHeight="1">
      <c r="A37" s="23" t="s">
        <v>65</v>
      </c>
      <c r="B37" s="24"/>
      <c r="C37" s="24"/>
      <c r="D37" s="24"/>
      <c r="E37" s="25"/>
      <c r="F37" s="26">
        <f>SUMPRODUCT((ISNUMBER(F35:F36))*F35:F36)</f>
        <v>19060</v>
      </c>
      <c r="G37" s="27"/>
      <c r="H37" s="26">
        <f>SUMPRODUCT((ISNUMBER(H35:H36))*H35:H36)</f>
        <v>20966</v>
      </c>
    </row>
    <row r="38" ht="19.5" customHeight="1">
      <c r="A38" s="5" t="s">
        <v>66</v>
      </c>
      <c r="B38" s="6"/>
      <c r="C38" s="6"/>
      <c r="D38" s="6"/>
      <c r="E38" s="6"/>
      <c r="F38" s="6"/>
      <c r="G38" s="6"/>
      <c r="H38" s="7"/>
    </row>
    <row r="39" ht="30.0" customHeight="1">
      <c r="A39" s="17" t="s">
        <v>67</v>
      </c>
      <c r="B39" s="18" t="s">
        <v>68</v>
      </c>
      <c r="C39" s="17" t="s">
        <v>21</v>
      </c>
      <c r="D39" s="19">
        <v>320.0</v>
      </c>
      <c r="E39" s="20">
        <v>38.0</v>
      </c>
      <c r="F39" s="21">
        <f>IF(E39&lt;&gt;"",E39*D39,"")</f>
        <v>12160</v>
      </c>
      <c r="G39" s="22">
        <v>0.1</v>
      </c>
      <c r="H39" s="21">
        <f>IF(F39&lt;&gt;"",F39*(1+G39),"")</f>
        <v>13376</v>
      </c>
    </row>
    <row r="40" ht="21.75" customHeight="1">
      <c r="A40" s="23" t="s">
        <v>69</v>
      </c>
      <c r="B40" s="24"/>
      <c r="C40" s="24"/>
      <c r="D40" s="24"/>
      <c r="E40" s="25"/>
      <c r="F40" s="26">
        <f>SUMPRODUCT((ISNUMBER(F39))*F39)</f>
        <v>12160</v>
      </c>
      <c r="G40" s="27"/>
      <c r="H40" s="26">
        <f>SUMPRODUCT((ISNUMBER(H39))*H39)</f>
        <v>13376</v>
      </c>
    </row>
    <row r="41" ht="19.5" customHeight="1">
      <c r="A41" s="5" t="s">
        <v>70</v>
      </c>
      <c r="B41" s="6"/>
      <c r="C41" s="6"/>
      <c r="D41" s="6"/>
      <c r="E41" s="6"/>
      <c r="F41" s="6"/>
      <c r="G41" s="6"/>
      <c r="H41" s="7"/>
    </row>
    <row r="42" ht="30.0" customHeight="1">
      <c r="A42" s="17" t="s">
        <v>71</v>
      </c>
      <c r="B42" s="18" t="s">
        <v>72</v>
      </c>
      <c r="C42" s="17" t="s">
        <v>21</v>
      </c>
      <c r="D42" s="19">
        <v>190.0</v>
      </c>
      <c r="E42" s="20">
        <v>46.0</v>
      </c>
      <c r="F42" s="21">
        <f>IF(E42&lt;&gt;"",E42*D42,"")</f>
        <v>8740</v>
      </c>
      <c r="G42" s="22">
        <v>0.1</v>
      </c>
      <c r="H42" s="21">
        <f>IF(F42&lt;&gt;"",F42*(1+G42),"")</f>
        <v>9614</v>
      </c>
    </row>
    <row r="43" ht="21.75" customHeight="1">
      <c r="A43" s="23" t="s">
        <v>73</v>
      </c>
      <c r="B43" s="24"/>
      <c r="C43" s="24"/>
      <c r="D43" s="24"/>
      <c r="E43" s="25"/>
      <c r="F43" s="26">
        <f>SUMPRODUCT((ISNUMBER(F42))*F42)</f>
        <v>8740</v>
      </c>
      <c r="G43" s="27"/>
      <c r="H43" s="26">
        <f>SUMPRODUCT((ISNUMBER(H42))*H42)</f>
        <v>9614</v>
      </c>
    </row>
    <row r="44" ht="19.5" customHeight="1">
      <c r="A44" s="16" t="s">
        <v>74</v>
      </c>
      <c r="B44" s="6"/>
      <c r="C44" s="6"/>
      <c r="D44" s="6"/>
      <c r="E44" s="6"/>
      <c r="F44" s="6"/>
      <c r="G44" s="6"/>
      <c r="H44" s="7"/>
    </row>
    <row r="45" ht="19.5" customHeight="1">
      <c r="A45" s="5" t="s">
        <v>75</v>
      </c>
      <c r="B45" s="6"/>
      <c r="C45" s="6"/>
      <c r="D45" s="6"/>
      <c r="E45" s="6"/>
      <c r="F45" s="6"/>
      <c r="G45" s="6"/>
      <c r="H45" s="7"/>
    </row>
    <row r="46" ht="30.0" customHeight="1">
      <c r="A46" s="17" t="s">
        <v>76</v>
      </c>
      <c r="B46" s="18" t="s">
        <v>77</v>
      </c>
      <c r="C46" s="17" t="s">
        <v>21</v>
      </c>
      <c r="D46" s="19">
        <v>280.0</v>
      </c>
      <c r="E46" s="20">
        <v>58.0</v>
      </c>
      <c r="F46" s="21">
        <f t="shared" ref="F46:F48" si="13">IF(E46&lt;&gt;"",E46*D46,"")</f>
        <v>16240</v>
      </c>
      <c r="G46" s="22">
        <v>0.2</v>
      </c>
      <c r="H46" s="21">
        <f t="shared" ref="H46:H48" si="14">IF(F46&lt;&gt;"",F46*(1+G46),"")</f>
        <v>19488</v>
      </c>
    </row>
    <row r="47" ht="30.0" customHeight="1">
      <c r="A47" s="17" t="s">
        <v>78</v>
      </c>
      <c r="B47" s="18" t="s">
        <v>79</v>
      </c>
      <c r="C47" s="17" t="s">
        <v>28</v>
      </c>
      <c r="D47" s="19">
        <v>120.0</v>
      </c>
      <c r="E47" s="20">
        <v>72.0</v>
      </c>
      <c r="F47" s="21">
        <f t="shared" si="13"/>
        <v>8640</v>
      </c>
      <c r="G47" s="22">
        <v>0.2</v>
      </c>
      <c r="H47" s="21">
        <f t="shared" si="14"/>
        <v>10368</v>
      </c>
    </row>
    <row r="48" ht="30.0" customHeight="1">
      <c r="A48" s="17" t="s">
        <v>80</v>
      </c>
      <c r="B48" s="18" t="s">
        <v>81</v>
      </c>
      <c r="C48" s="17" t="s">
        <v>28</v>
      </c>
      <c r="D48" s="19">
        <v>320.0</v>
      </c>
      <c r="E48" s="20">
        <v>14.0</v>
      </c>
      <c r="F48" s="21">
        <f t="shared" si="13"/>
        <v>4480</v>
      </c>
      <c r="G48" s="22">
        <v>0.2</v>
      </c>
      <c r="H48" s="21">
        <f t="shared" si="14"/>
        <v>5376</v>
      </c>
    </row>
    <row r="49" ht="21.75" customHeight="1">
      <c r="A49" s="23" t="s">
        <v>82</v>
      </c>
      <c r="B49" s="24"/>
      <c r="C49" s="24"/>
      <c r="D49" s="24"/>
      <c r="E49" s="25"/>
      <c r="F49" s="26">
        <f>SUMPRODUCT((ISNUMBER(F46:F48))*F46:F48)</f>
        <v>29360</v>
      </c>
      <c r="G49" s="27"/>
      <c r="H49" s="26">
        <f>SUMPRODUCT((ISNUMBER(H46:H48))*H46:H48)</f>
        <v>35232</v>
      </c>
    </row>
    <row r="50" ht="19.5" customHeight="1">
      <c r="A50" s="5" t="s">
        <v>83</v>
      </c>
      <c r="B50" s="6"/>
      <c r="C50" s="6"/>
      <c r="D50" s="6"/>
      <c r="E50" s="6"/>
      <c r="F50" s="6"/>
      <c r="G50" s="6"/>
      <c r="H50" s="7"/>
    </row>
    <row r="51" ht="30.0" customHeight="1">
      <c r="A51" s="17" t="s">
        <v>84</v>
      </c>
      <c r="B51" s="18" t="s">
        <v>85</v>
      </c>
      <c r="C51" s="17" t="s">
        <v>86</v>
      </c>
      <c r="D51" s="19">
        <v>1.0</v>
      </c>
      <c r="E51" s="20">
        <v>3500.0</v>
      </c>
      <c r="F51" s="21">
        <f t="shared" ref="F51:F54" si="15">IF(E51&lt;&gt;"",E51*D51,"")</f>
        <v>3500</v>
      </c>
      <c r="G51" s="22">
        <v>0.2</v>
      </c>
      <c r="H51" s="21">
        <f t="shared" ref="H51:H54" si="16">IF(F51&lt;&gt;"",F51*(1+G51),"")</f>
        <v>4200</v>
      </c>
    </row>
    <row r="52" ht="30.0" customHeight="1">
      <c r="A52" s="17" t="s">
        <v>87</v>
      </c>
      <c r="B52" s="18" t="s">
        <v>88</v>
      </c>
      <c r="C52" s="17" t="s">
        <v>86</v>
      </c>
      <c r="D52" s="19">
        <v>1.0</v>
      </c>
      <c r="E52" s="20">
        <v>800.0</v>
      </c>
      <c r="F52" s="21">
        <f t="shared" si="15"/>
        <v>800</v>
      </c>
      <c r="G52" s="22">
        <v>0.2</v>
      </c>
      <c r="H52" s="21">
        <f t="shared" si="16"/>
        <v>960</v>
      </c>
    </row>
    <row r="53" ht="30.0" customHeight="1">
      <c r="A53" s="17" t="s">
        <v>89</v>
      </c>
      <c r="B53" s="18" t="s">
        <v>90</v>
      </c>
      <c r="C53" s="17" t="s">
        <v>86</v>
      </c>
      <c r="D53" s="19">
        <v>1.0</v>
      </c>
      <c r="E53" s="20">
        <v>600.0</v>
      </c>
      <c r="F53" s="21">
        <f t="shared" si="15"/>
        <v>600</v>
      </c>
      <c r="G53" s="22">
        <v>0.2</v>
      </c>
      <c r="H53" s="21">
        <f t="shared" si="16"/>
        <v>720</v>
      </c>
    </row>
    <row r="54" ht="30.0" customHeight="1">
      <c r="A54" s="17" t="s">
        <v>91</v>
      </c>
      <c r="B54" s="18" t="s">
        <v>92</v>
      </c>
      <c r="C54" s="17" t="s">
        <v>86</v>
      </c>
      <c r="D54" s="19">
        <v>1.0</v>
      </c>
      <c r="E54" s="20">
        <v>900.0</v>
      </c>
      <c r="F54" s="21">
        <f t="shared" si="15"/>
        <v>900</v>
      </c>
      <c r="G54" s="22">
        <v>0.2</v>
      </c>
      <c r="H54" s="21">
        <f t="shared" si="16"/>
        <v>1080</v>
      </c>
    </row>
    <row r="55" ht="21.75" customHeight="1">
      <c r="A55" s="23" t="s">
        <v>93</v>
      </c>
      <c r="B55" s="24"/>
      <c r="C55" s="24"/>
      <c r="D55" s="24"/>
      <c r="E55" s="25"/>
      <c r="F55" s="26">
        <f>SUMPRODUCT((ISNUMBER(F51:F54))*F51:F54)</f>
        <v>5800</v>
      </c>
      <c r="G55" s="27"/>
      <c r="H55" s="26">
        <f>SUMPRODUCT((ISNUMBER(H51:H54))*H51:H54)</f>
        <v>6960</v>
      </c>
    </row>
    <row r="56" ht="15.75" customHeight="1"/>
    <row r="57" ht="30.0" customHeight="1">
      <c r="A57" s="28" t="s">
        <v>94</v>
      </c>
      <c r="B57" s="24"/>
      <c r="C57" s="24"/>
      <c r="D57" s="24"/>
      <c r="E57" s="25"/>
      <c r="F57" s="29">
        <f>SUM(F14,F19,F24,F28,F33,F37,F40,F43,F49,F55)</f>
        <v>238600</v>
      </c>
      <c r="G57" s="30"/>
      <c r="H57" s="29">
        <f>SUM(H14,H19,H24,H28,H33,H37,H40,H43,H49,H55)</f>
        <v>279772</v>
      </c>
    </row>
    <row r="58" ht="15.75" customHeight="1"/>
    <row r="59" ht="49.5" customHeight="1">
      <c r="A59" s="31" t="s">
        <v>95</v>
      </c>
      <c r="B59" s="6"/>
      <c r="C59" s="6"/>
      <c r="D59" s="6"/>
      <c r="E59" s="6"/>
      <c r="F59" s="6"/>
      <c r="G59" s="6"/>
      <c r="H59" s="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H1"/>
    <mergeCell ref="A2:H2"/>
    <mergeCell ref="A3:D3"/>
    <mergeCell ref="E3:H3"/>
    <mergeCell ref="A4:D4"/>
    <mergeCell ref="E4:H4"/>
    <mergeCell ref="A5:H5"/>
    <mergeCell ref="A8:H8"/>
    <mergeCell ref="A9:H9"/>
    <mergeCell ref="A14:E14"/>
    <mergeCell ref="A15:H15"/>
    <mergeCell ref="A19:E19"/>
    <mergeCell ref="A20:H20"/>
    <mergeCell ref="A25:H25"/>
    <mergeCell ref="A24:E24"/>
    <mergeCell ref="A28:E28"/>
    <mergeCell ref="A29:H29"/>
    <mergeCell ref="A30:H30"/>
    <mergeCell ref="A33:E33"/>
    <mergeCell ref="A34:H34"/>
    <mergeCell ref="A38:H38"/>
    <mergeCell ref="A49:E49"/>
    <mergeCell ref="A55:E55"/>
    <mergeCell ref="A57:E57"/>
    <mergeCell ref="A59:H59"/>
    <mergeCell ref="A37:E37"/>
    <mergeCell ref="A40:E40"/>
    <mergeCell ref="A41:H41"/>
    <mergeCell ref="A43:E43"/>
    <mergeCell ref="A44:H44"/>
    <mergeCell ref="A45:H45"/>
    <mergeCell ref="A50:H5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.0"/>
    <col customWidth="1" min="2" max="2" width="56.0"/>
    <col customWidth="1" min="3" max="3" width="9.0"/>
    <col customWidth="1" min="4" max="4" width="10.0"/>
    <col customWidth="1" min="5" max="5" width="22.0"/>
    <col customWidth="1" min="6" max="6" width="28.0"/>
    <col customWidth="1" min="7" max="26" width="8.71"/>
  </cols>
  <sheetData>
    <row r="1" ht="49.5" customHeight="1">
      <c r="A1" s="1" t="s">
        <v>96</v>
      </c>
      <c r="B1" s="2"/>
      <c r="C1" s="2"/>
      <c r="D1" s="2"/>
      <c r="E1" s="2"/>
      <c r="F1" s="3"/>
    </row>
    <row r="2" ht="27.75" customHeight="1">
      <c r="A2" s="4" t="s">
        <v>1</v>
      </c>
      <c r="B2" s="2"/>
      <c r="C2" s="2"/>
      <c r="D2" s="2"/>
      <c r="E2" s="2"/>
      <c r="F2" s="3"/>
    </row>
    <row r="3" ht="15.0" customHeight="1">
      <c r="A3" s="5" t="s">
        <v>2</v>
      </c>
      <c r="B3" s="6"/>
      <c r="C3" s="7"/>
      <c r="D3" s="8"/>
      <c r="E3" s="6"/>
      <c r="F3" s="7"/>
    </row>
    <row r="4" ht="36.0" customHeight="1">
      <c r="A4" s="9" t="s">
        <v>97</v>
      </c>
      <c r="B4" s="6"/>
      <c r="C4" s="6"/>
      <c r="D4" s="6"/>
      <c r="E4" s="6"/>
      <c r="F4" s="7"/>
    </row>
    <row r="5" ht="18.0" customHeight="1">
      <c r="A5" s="10" t="s">
        <v>98</v>
      </c>
      <c r="B5" s="11"/>
      <c r="C5" s="12" t="s">
        <v>99</v>
      </c>
      <c r="D5" s="11"/>
      <c r="E5" s="14" t="s">
        <v>8</v>
      </c>
      <c r="F5" s="11"/>
    </row>
    <row r="6" ht="45.0" customHeight="1">
      <c r="A6" s="15" t="s">
        <v>100</v>
      </c>
      <c r="B6" s="15" t="s">
        <v>101</v>
      </c>
      <c r="C6" s="15" t="s">
        <v>11</v>
      </c>
      <c r="D6" s="15" t="s">
        <v>102</v>
      </c>
      <c r="E6" s="15" t="s">
        <v>103</v>
      </c>
      <c r="F6" s="15" t="s">
        <v>104</v>
      </c>
    </row>
    <row r="7" ht="19.5" customHeight="1">
      <c r="A7" s="16" t="s">
        <v>105</v>
      </c>
      <c r="B7" s="6"/>
      <c r="C7" s="6"/>
      <c r="D7" s="6"/>
      <c r="E7" s="6"/>
      <c r="F7" s="7"/>
    </row>
    <row r="8" ht="27.75" customHeight="1">
      <c r="A8" s="17" t="s">
        <v>106</v>
      </c>
      <c r="B8" s="18" t="s">
        <v>107</v>
      </c>
      <c r="C8" s="17" t="s">
        <v>21</v>
      </c>
      <c r="D8" s="22">
        <v>0.2</v>
      </c>
      <c r="E8" s="20">
        <v>85.0</v>
      </c>
      <c r="F8" s="32" t="s">
        <v>108</v>
      </c>
    </row>
    <row r="9" ht="27.75" customHeight="1">
      <c r="A9" s="17" t="s">
        <v>109</v>
      </c>
      <c r="B9" s="18" t="s">
        <v>110</v>
      </c>
      <c r="C9" s="17" t="s">
        <v>21</v>
      </c>
      <c r="D9" s="22">
        <v>0.2</v>
      </c>
      <c r="E9" s="20">
        <v>12.0</v>
      </c>
      <c r="F9" s="32" t="s">
        <v>111</v>
      </c>
    </row>
    <row r="10" ht="27.75" customHeight="1">
      <c r="A10" s="17" t="s">
        <v>112</v>
      </c>
      <c r="B10" s="18" t="s">
        <v>113</v>
      </c>
      <c r="C10" s="17" t="s">
        <v>21</v>
      </c>
      <c r="D10" s="22">
        <v>0.2</v>
      </c>
      <c r="E10" s="20">
        <v>95.0</v>
      </c>
      <c r="F10" s="32" t="s">
        <v>114</v>
      </c>
    </row>
    <row r="11" ht="27.75" customHeight="1">
      <c r="A11" s="17" t="s">
        <v>115</v>
      </c>
      <c r="B11" s="18" t="s">
        <v>116</v>
      </c>
      <c r="C11" s="17" t="s">
        <v>28</v>
      </c>
      <c r="D11" s="22">
        <v>0.2</v>
      </c>
      <c r="E11" s="20">
        <v>18.0</v>
      </c>
      <c r="F11" s="32" t="s">
        <v>111</v>
      </c>
    </row>
    <row r="12" ht="27.75" customHeight="1">
      <c r="A12" s="17" t="s">
        <v>117</v>
      </c>
      <c r="B12" s="18" t="s">
        <v>118</v>
      </c>
      <c r="C12" s="17" t="s">
        <v>21</v>
      </c>
      <c r="D12" s="22">
        <v>0.2</v>
      </c>
      <c r="E12" s="20">
        <v>72.0</v>
      </c>
      <c r="F12" s="32" t="s">
        <v>111</v>
      </c>
    </row>
    <row r="13" ht="27.75" customHeight="1">
      <c r="A13" s="17" t="s">
        <v>119</v>
      </c>
      <c r="B13" s="18" t="s">
        <v>120</v>
      </c>
      <c r="C13" s="17" t="s">
        <v>35</v>
      </c>
      <c r="D13" s="22">
        <v>0.2</v>
      </c>
      <c r="E13" s="20">
        <v>380.0</v>
      </c>
      <c r="F13" s="32" t="s">
        <v>111</v>
      </c>
    </row>
    <row r="14" ht="27.75" customHeight="1">
      <c r="A14" s="17" t="s">
        <v>121</v>
      </c>
      <c r="B14" s="18" t="s">
        <v>122</v>
      </c>
      <c r="C14" s="17" t="s">
        <v>28</v>
      </c>
      <c r="D14" s="22">
        <v>0.2</v>
      </c>
      <c r="E14" s="20">
        <v>8.5</v>
      </c>
      <c r="F14" s="32" t="s">
        <v>111</v>
      </c>
    </row>
    <row r="15" ht="19.5" customHeight="1">
      <c r="A15" s="33" t="s">
        <v>123</v>
      </c>
      <c r="B15" s="6"/>
      <c r="C15" s="6"/>
      <c r="D15" s="6"/>
      <c r="E15" s="6"/>
      <c r="F15" s="7"/>
    </row>
    <row r="16" ht="27.75" customHeight="1">
      <c r="A16" s="17" t="s">
        <v>124</v>
      </c>
      <c r="B16" s="18" t="s">
        <v>125</v>
      </c>
      <c r="C16" s="17" t="s">
        <v>21</v>
      </c>
      <c r="D16" s="22">
        <v>0.2</v>
      </c>
      <c r="E16" s="20">
        <v>68.0</v>
      </c>
      <c r="F16" s="32" t="s">
        <v>126</v>
      </c>
    </row>
    <row r="17" ht="27.75" customHeight="1">
      <c r="A17" s="17" t="s">
        <v>127</v>
      </c>
      <c r="B17" s="18" t="s">
        <v>128</v>
      </c>
      <c r="C17" s="17" t="s">
        <v>28</v>
      </c>
      <c r="D17" s="22">
        <v>0.2</v>
      </c>
      <c r="E17" s="20">
        <v>12.0</v>
      </c>
      <c r="F17" s="32" t="s">
        <v>111</v>
      </c>
    </row>
    <row r="18" ht="27.75" customHeight="1">
      <c r="A18" s="17" t="s">
        <v>129</v>
      </c>
      <c r="B18" s="18" t="s">
        <v>130</v>
      </c>
      <c r="C18" s="17" t="s">
        <v>35</v>
      </c>
      <c r="D18" s="22">
        <v>0.2</v>
      </c>
      <c r="E18" s="20">
        <v>95.0</v>
      </c>
      <c r="F18" s="32" t="s">
        <v>111</v>
      </c>
    </row>
    <row r="19" ht="27.75" customHeight="1">
      <c r="A19" s="17" t="s">
        <v>131</v>
      </c>
      <c r="B19" s="18" t="s">
        <v>132</v>
      </c>
      <c r="C19" s="17" t="s">
        <v>21</v>
      </c>
      <c r="D19" s="22">
        <v>0.2</v>
      </c>
      <c r="E19" s="20">
        <v>145.0</v>
      </c>
      <c r="F19" s="32" t="s">
        <v>133</v>
      </c>
    </row>
    <row r="20" ht="27.75" customHeight="1">
      <c r="A20" s="17" t="s">
        <v>134</v>
      </c>
      <c r="B20" s="18" t="s">
        <v>135</v>
      </c>
      <c r="C20" s="17" t="s">
        <v>28</v>
      </c>
      <c r="D20" s="22">
        <v>0.2</v>
      </c>
      <c r="E20" s="20">
        <v>22.0</v>
      </c>
      <c r="F20" s="32" t="s">
        <v>111</v>
      </c>
    </row>
    <row r="21" ht="19.5" customHeight="1">
      <c r="A21" s="16" t="s">
        <v>136</v>
      </c>
      <c r="B21" s="6"/>
      <c r="C21" s="6"/>
      <c r="D21" s="6"/>
      <c r="E21" s="6"/>
      <c r="F21" s="7"/>
    </row>
    <row r="22" ht="27.75" customHeight="1">
      <c r="A22" s="17" t="s">
        <v>137</v>
      </c>
      <c r="B22" s="18" t="s">
        <v>138</v>
      </c>
      <c r="C22" s="17" t="s">
        <v>21</v>
      </c>
      <c r="D22" s="22">
        <v>0.1</v>
      </c>
      <c r="E22" s="20">
        <v>40.0</v>
      </c>
      <c r="F22" s="32" t="s">
        <v>139</v>
      </c>
    </row>
    <row r="23" ht="27.75" customHeight="1">
      <c r="A23" s="17" t="s">
        <v>140</v>
      </c>
      <c r="B23" s="18" t="s">
        <v>141</v>
      </c>
      <c r="C23" s="17" t="s">
        <v>21</v>
      </c>
      <c r="D23" s="22">
        <v>0.1</v>
      </c>
      <c r="E23" s="20">
        <v>37.0</v>
      </c>
      <c r="F23" s="32" t="s">
        <v>142</v>
      </c>
    </row>
    <row r="24" ht="27.75" customHeight="1">
      <c r="A24" s="17" t="s">
        <v>143</v>
      </c>
      <c r="B24" s="18" t="s">
        <v>144</v>
      </c>
      <c r="C24" s="17" t="s">
        <v>28</v>
      </c>
      <c r="D24" s="22">
        <v>0.1</v>
      </c>
      <c r="E24" s="20">
        <v>9.0</v>
      </c>
      <c r="F24" s="32" t="s">
        <v>145</v>
      </c>
    </row>
    <row r="25" ht="27.75" customHeight="1">
      <c r="A25" s="17" t="s">
        <v>146</v>
      </c>
      <c r="B25" s="18" t="s">
        <v>147</v>
      </c>
      <c r="C25" s="17" t="s">
        <v>35</v>
      </c>
      <c r="D25" s="22">
        <v>0.1</v>
      </c>
      <c r="E25" s="20">
        <v>280.0</v>
      </c>
      <c r="F25" s="32" t="s">
        <v>145</v>
      </c>
    </row>
    <row r="26" ht="19.5" customHeight="1">
      <c r="A26" s="33" t="s">
        <v>148</v>
      </c>
      <c r="B26" s="6"/>
      <c r="C26" s="6"/>
      <c r="D26" s="6"/>
      <c r="E26" s="6"/>
      <c r="F26" s="7"/>
    </row>
    <row r="27" ht="27.75" customHeight="1">
      <c r="A27" s="17" t="s">
        <v>149</v>
      </c>
      <c r="B27" s="18" t="s">
        <v>150</v>
      </c>
      <c r="C27" s="17" t="s">
        <v>21</v>
      </c>
      <c r="D27" s="22">
        <v>0.1</v>
      </c>
      <c r="E27" s="20">
        <v>38.0</v>
      </c>
      <c r="F27" s="32" t="s">
        <v>142</v>
      </c>
    </row>
    <row r="28" ht="27.75" customHeight="1">
      <c r="A28" s="17" t="s">
        <v>151</v>
      </c>
      <c r="B28" s="18" t="s">
        <v>152</v>
      </c>
      <c r="C28" s="17" t="s">
        <v>21</v>
      </c>
      <c r="D28" s="22">
        <v>0.1</v>
      </c>
      <c r="E28" s="20">
        <v>46.0</v>
      </c>
      <c r="F28" s="32" t="s">
        <v>153</v>
      </c>
    </row>
    <row r="29" ht="19.5" customHeight="1">
      <c r="A29" s="16" t="s">
        <v>154</v>
      </c>
      <c r="B29" s="6"/>
      <c r="C29" s="6"/>
      <c r="D29" s="6"/>
      <c r="E29" s="6"/>
      <c r="F29" s="7"/>
    </row>
    <row r="30" ht="27.75" customHeight="1">
      <c r="A30" s="17" t="s">
        <v>155</v>
      </c>
      <c r="B30" s="18" t="s">
        <v>156</v>
      </c>
      <c r="C30" s="17" t="s">
        <v>21</v>
      </c>
      <c r="D30" s="22">
        <v>0.2</v>
      </c>
      <c r="E30" s="20">
        <v>58.0</v>
      </c>
      <c r="F30" s="32" t="s">
        <v>157</v>
      </c>
    </row>
    <row r="31" ht="27.75" customHeight="1">
      <c r="A31" s="17" t="s">
        <v>158</v>
      </c>
      <c r="B31" s="18" t="s">
        <v>159</v>
      </c>
      <c r="C31" s="17" t="s">
        <v>28</v>
      </c>
      <c r="D31" s="22">
        <v>0.2</v>
      </c>
      <c r="E31" s="20">
        <v>72.0</v>
      </c>
      <c r="F31" s="32" t="s">
        <v>157</v>
      </c>
    </row>
    <row r="32" ht="27.75" customHeight="1">
      <c r="A32" s="17" t="s">
        <v>160</v>
      </c>
      <c r="B32" s="18" t="s">
        <v>161</v>
      </c>
      <c r="C32" s="17" t="s">
        <v>28</v>
      </c>
      <c r="D32" s="22">
        <v>0.2</v>
      </c>
      <c r="E32" s="20">
        <v>28.0</v>
      </c>
      <c r="F32" s="32" t="s">
        <v>157</v>
      </c>
    </row>
    <row r="33" ht="27.75" customHeight="1">
      <c r="A33" s="17" t="s">
        <v>162</v>
      </c>
      <c r="B33" s="18" t="s">
        <v>163</v>
      </c>
      <c r="C33" s="17" t="s">
        <v>28</v>
      </c>
      <c r="D33" s="22">
        <v>0.2</v>
      </c>
      <c r="E33" s="20">
        <v>14.0</v>
      </c>
      <c r="F33" s="32" t="s">
        <v>157</v>
      </c>
    </row>
    <row r="34" ht="27.75" customHeight="1">
      <c r="A34" s="17" t="s">
        <v>164</v>
      </c>
      <c r="B34" s="18" t="s">
        <v>165</v>
      </c>
      <c r="C34" s="17" t="s">
        <v>21</v>
      </c>
      <c r="D34" s="22">
        <v>0.2</v>
      </c>
      <c r="E34" s="20">
        <v>18.0</v>
      </c>
      <c r="F34" s="32" t="s">
        <v>166</v>
      </c>
    </row>
    <row r="35" ht="27.75" customHeight="1">
      <c r="A35" s="17" t="s">
        <v>167</v>
      </c>
      <c r="B35" s="18" t="s">
        <v>168</v>
      </c>
      <c r="C35" s="17" t="s">
        <v>35</v>
      </c>
      <c r="D35" s="22">
        <v>0.2</v>
      </c>
      <c r="E35" s="34"/>
      <c r="F35" s="32" t="s">
        <v>169</v>
      </c>
    </row>
    <row r="36" ht="27.75" customHeight="1">
      <c r="A36" s="17" t="s">
        <v>170</v>
      </c>
      <c r="B36" s="18" t="s">
        <v>171</v>
      </c>
      <c r="C36" s="17" t="s">
        <v>21</v>
      </c>
      <c r="D36" s="22">
        <v>0.2</v>
      </c>
      <c r="E36" s="34"/>
      <c r="F36" s="32" t="s">
        <v>169</v>
      </c>
    </row>
    <row r="37" ht="27.75" customHeight="1">
      <c r="A37" s="17" t="s">
        <v>172</v>
      </c>
      <c r="B37" s="18" t="s">
        <v>173</v>
      </c>
      <c r="C37" s="17" t="s">
        <v>86</v>
      </c>
      <c r="D37" s="22">
        <v>0.2</v>
      </c>
      <c r="E37" s="20">
        <v>3500.0</v>
      </c>
      <c r="F37" s="32" t="s">
        <v>174</v>
      </c>
    </row>
    <row r="38" ht="27.75" customHeight="1">
      <c r="A38" s="17" t="s">
        <v>175</v>
      </c>
      <c r="B38" s="18" t="s">
        <v>176</v>
      </c>
      <c r="C38" s="17" t="s">
        <v>86</v>
      </c>
      <c r="D38" s="22">
        <v>0.2</v>
      </c>
      <c r="E38" s="20">
        <v>1700.0</v>
      </c>
      <c r="F38" s="32" t="s">
        <v>174</v>
      </c>
    </row>
    <row r="39" ht="36.0" customHeight="1">
      <c r="A39" s="35" t="s">
        <v>177</v>
      </c>
      <c r="B39" s="6"/>
      <c r="C39" s="6"/>
      <c r="D39" s="6"/>
      <c r="E39" s="6"/>
      <c r="F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1:F21"/>
    <mergeCell ref="A26:F26"/>
    <mergeCell ref="A29:F29"/>
    <mergeCell ref="A39:F39"/>
    <mergeCell ref="A1:F1"/>
    <mergeCell ref="A2:F2"/>
    <mergeCell ref="A3:C3"/>
    <mergeCell ref="D3:F3"/>
    <mergeCell ref="A4:F4"/>
    <mergeCell ref="A7:F7"/>
    <mergeCell ref="A15:F1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56.0"/>
    <col customWidth="1" min="3" max="3" width="9.0"/>
    <col customWidth="1" min="4" max="4" width="14.0"/>
    <col customWidth="1" min="5" max="6" width="22.0"/>
    <col customWidth="1" min="7" max="7" width="9.0"/>
    <col customWidth="1" min="8" max="8" width="22.0"/>
    <col customWidth="1" min="9" max="26" width="8.71"/>
  </cols>
  <sheetData>
    <row r="1" ht="49.5" customHeight="1">
      <c r="A1" s="1" t="s">
        <v>178</v>
      </c>
      <c r="B1" s="2"/>
      <c r="C1" s="2"/>
      <c r="D1" s="2"/>
      <c r="E1" s="2"/>
      <c r="F1" s="2"/>
      <c r="G1" s="2"/>
      <c r="H1" s="3"/>
    </row>
    <row r="2" ht="27.75" customHeight="1">
      <c r="A2" s="4" t="s">
        <v>179</v>
      </c>
      <c r="B2" s="2"/>
      <c r="C2" s="2"/>
      <c r="D2" s="2"/>
      <c r="E2" s="2"/>
      <c r="F2" s="2"/>
      <c r="G2" s="2"/>
      <c r="H2" s="3"/>
    </row>
    <row r="3" ht="39.75" customHeight="1">
      <c r="A3" s="9" t="s">
        <v>180</v>
      </c>
      <c r="B3" s="6"/>
      <c r="C3" s="6"/>
      <c r="D3" s="6"/>
      <c r="E3" s="6"/>
      <c r="F3" s="6"/>
      <c r="G3" s="6"/>
      <c r="H3" s="7"/>
    </row>
    <row r="4" ht="49.5" customHeight="1">
      <c r="A4" s="15" t="s">
        <v>9</v>
      </c>
      <c r="B4" s="15" t="s">
        <v>181</v>
      </c>
      <c r="C4" s="15" t="s">
        <v>11</v>
      </c>
      <c r="D4" s="15" t="s">
        <v>182</v>
      </c>
      <c r="E4" s="15" t="s">
        <v>183</v>
      </c>
      <c r="F4" s="15" t="s">
        <v>184</v>
      </c>
      <c r="G4" s="15" t="s">
        <v>15</v>
      </c>
      <c r="H4" s="15" t="s">
        <v>185</v>
      </c>
    </row>
    <row r="5" ht="19.5" customHeight="1">
      <c r="A5" s="16" t="s">
        <v>186</v>
      </c>
      <c r="B5" s="6"/>
      <c r="C5" s="6"/>
      <c r="D5" s="6"/>
      <c r="E5" s="6"/>
      <c r="F5" s="6"/>
      <c r="G5" s="6"/>
      <c r="H5" s="7"/>
    </row>
    <row r="6" ht="27.75" customHeight="1">
      <c r="A6" s="17" t="s">
        <v>19</v>
      </c>
      <c r="B6" s="18" t="s">
        <v>187</v>
      </c>
      <c r="C6" s="17" t="s">
        <v>21</v>
      </c>
      <c r="D6" s="19">
        <v>420.0</v>
      </c>
      <c r="E6" s="20">
        <v>85.0</v>
      </c>
      <c r="F6" s="21">
        <f t="shared" ref="F6:F16" si="1">D6*E6</f>
        <v>35700</v>
      </c>
      <c r="G6" s="22">
        <v>0.2</v>
      </c>
      <c r="H6" s="21">
        <f t="shared" ref="H6:H16" si="2">F6*(1+G6)</f>
        <v>42840</v>
      </c>
    </row>
    <row r="7" ht="27.75" customHeight="1">
      <c r="A7" s="17" t="s">
        <v>24</v>
      </c>
      <c r="B7" s="18" t="s">
        <v>188</v>
      </c>
      <c r="C7" s="17" t="s">
        <v>21</v>
      </c>
      <c r="D7" s="19">
        <v>120.0</v>
      </c>
      <c r="E7" s="20">
        <v>95.0</v>
      </c>
      <c r="F7" s="21">
        <f t="shared" si="1"/>
        <v>11400</v>
      </c>
      <c r="G7" s="22">
        <v>0.2</v>
      </c>
      <c r="H7" s="21">
        <f t="shared" si="2"/>
        <v>13680</v>
      </c>
    </row>
    <row r="8" ht="27.75" customHeight="1">
      <c r="A8" s="17" t="s">
        <v>26</v>
      </c>
      <c r="B8" s="18" t="s">
        <v>189</v>
      </c>
      <c r="C8" s="17" t="s">
        <v>28</v>
      </c>
      <c r="D8" s="19">
        <v>380.0</v>
      </c>
      <c r="E8" s="20">
        <v>18.0</v>
      </c>
      <c r="F8" s="21">
        <f t="shared" si="1"/>
        <v>6840</v>
      </c>
      <c r="G8" s="22">
        <v>0.2</v>
      </c>
      <c r="H8" s="21">
        <f t="shared" si="2"/>
        <v>8208</v>
      </c>
    </row>
    <row r="9" ht="27.75" customHeight="1">
      <c r="A9" s="17" t="s">
        <v>31</v>
      </c>
      <c r="B9" s="18" t="s">
        <v>190</v>
      </c>
      <c r="C9" s="17" t="s">
        <v>21</v>
      </c>
      <c r="D9" s="19">
        <v>180.0</v>
      </c>
      <c r="E9" s="20">
        <v>72.0</v>
      </c>
      <c r="F9" s="21">
        <f t="shared" si="1"/>
        <v>12960</v>
      </c>
      <c r="G9" s="22">
        <v>0.2</v>
      </c>
      <c r="H9" s="21">
        <f t="shared" si="2"/>
        <v>15552</v>
      </c>
    </row>
    <row r="10" ht="27.75" customHeight="1">
      <c r="A10" s="17" t="s">
        <v>33</v>
      </c>
      <c r="B10" s="18" t="s">
        <v>191</v>
      </c>
      <c r="C10" s="17" t="s">
        <v>35</v>
      </c>
      <c r="D10" s="19">
        <v>30.0</v>
      </c>
      <c r="E10" s="20">
        <v>380.0</v>
      </c>
      <c r="F10" s="21">
        <f t="shared" si="1"/>
        <v>11400</v>
      </c>
      <c r="G10" s="22">
        <v>0.2</v>
      </c>
      <c r="H10" s="21">
        <f t="shared" si="2"/>
        <v>13680</v>
      </c>
    </row>
    <row r="11" ht="27.75" customHeight="1">
      <c r="A11" s="17" t="s">
        <v>36</v>
      </c>
      <c r="B11" s="18" t="s">
        <v>192</v>
      </c>
      <c r="C11" s="17" t="s">
        <v>28</v>
      </c>
      <c r="D11" s="19">
        <v>240.0</v>
      </c>
      <c r="E11" s="20">
        <v>8.5</v>
      </c>
      <c r="F11" s="21">
        <f t="shared" si="1"/>
        <v>2040</v>
      </c>
      <c r="G11" s="22">
        <v>0.2</v>
      </c>
      <c r="H11" s="21">
        <f t="shared" si="2"/>
        <v>2448</v>
      </c>
    </row>
    <row r="12" ht="27.75" customHeight="1">
      <c r="A12" s="17" t="s">
        <v>40</v>
      </c>
      <c r="B12" s="18" t="s">
        <v>193</v>
      </c>
      <c r="C12" s="17" t="s">
        <v>21</v>
      </c>
      <c r="D12" s="19">
        <v>260.0</v>
      </c>
      <c r="E12" s="20">
        <v>68.0</v>
      </c>
      <c r="F12" s="21">
        <f t="shared" si="1"/>
        <v>17680</v>
      </c>
      <c r="G12" s="22">
        <v>0.2</v>
      </c>
      <c r="H12" s="21">
        <f t="shared" si="2"/>
        <v>21216</v>
      </c>
    </row>
    <row r="13" ht="27.75" customHeight="1">
      <c r="A13" s="17" t="s">
        <v>42</v>
      </c>
      <c r="B13" s="18" t="s">
        <v>194</v>
      </c>
      <c r="C13" s="17" t="s">
        <v>28</v>
      </c>
      <c r="D13" s="19">
        <v>180.0</v>
      </c>
      <c r="E13" s="20">
        <v>12.0</v>
      </c>
      <c r="F13" s="21">
        <f t="shared" si="1"/>
        <v>2160</v>
      </c>
      <c r="G13" s="22">
        <v>0.2</v>
      </c>
      <c r="H13" s="21">
        <f t="shared" si="2"/>
        <v>2592</v>
      </c>
    </row>
    <row r="14" ht="27.75" customHeight="1">
      <c r="A14" s="17" t="s">
        <v>44</v>
      </c>
      <c r="B14" s="18" t="s">
        <v>195</v>
      </c>
      <c r="C14" s="17" t="s">
        <v>35</v>
      </c>
      <c r="D14" s="19">
        <v>30.0</v>
      </c>
      <c r="E14" s="20">
        <v>95.0</v>
      </c>
      <c r="F14" s="21">
        <f t="shared" si="1"/>
        <v>2850</v>
      </c>
      <c r="G14" s="22">
        <v>0.2</v>
      </c>
      <c r="H14" s="21">
        <f t="shared" si="2"/>
        <v>3420</v>
      </c>
    </row>
    <row r="15" ht="27.75" customHeight="1">
      <c r="A15" s="17" t="s">
        <v>48</v>
      </c>
      <c r="B15" s="18" t="s">
        <v>196</v>
      </c>
      <c r="C15" s="17" t="s">
        <v>21</v>
      </c>
      <c r="D15" s="19">
        <v>210.0</v>
      </c>
      <c r="E15" s="20">
        <v>145.0</v>
      </c>
      <c r="F15" s="21">
        <f t="shared" si="1"/>
        <v>30450</v>
      </c>
      <c r="G15" s="22">
        <v>0.2</v>
      </c>
      <c r="H15" s="21">
        <f t="shared" si="2"/>
        <v>36540</v>
      </c>
    </row>
    <row r="16" ht="27.75" customHeight="1">
      <c r="A16" s="17" t="s">
        <v>50</v>
      </c>
      <c r="B16" s="18" t="s">
        <v>197</v>
      </c>
      <c r="C16" s="17" t="s">
        <v>28</v>
      </c>
      <c r="D16" s="19">
        <v>160.0</v>
      </c>
      <c r="E16" s="20">
        <v>22.0</v>
      </c>
      <c r="F16" s="21">
        <f t="shared" si="1"/>
        <v>3520</v>
      </c>
      <c r="G16" s="22">
        <v>0.2</v>
      </c>
      <c r="H16" s="21">
        <f t="shared" si="2"/>
        <v>4224</v>
      </c>
    </row>
    <row r="17" ht="21.75" customHeight="1">
      <c r="A17" s="23" t="s">
        <v>198</v>
      </c>
      <c r="B17" s="24"/>
      <c r="C17" s="24"/>
      <c r="D17" s="24"/>
      <c r="E17" s="25"/>
      <c r="F17" s="26">
        <f>SUM(F6:F16)</f>
        <v>137000</v>
      </c>
      <c r="G17" s="27"/>
      <c r="H17" s="26">
        <f>SUM(H6:H16)</f>
        <v>164400</v>
      </c>
    </row>
    <row r="18" ht="19.5" customHeight="1">
      <c r="A18" s="16" t="s">
        <v>199</v>
      </c>
      <c r="B18" s="6"/>
      <c r="C18" s="6"/>
      <c r="D18" s="6"/>
      <c r="E18" s="6"/>
      <c r="F18" s="6"/>
      <c r="G18" s="6"/>
      <c r="H18" s="7"/>
    </row>
    <row r="19" ht="27.75" customHeight="1">
      <c r="A19" s="17" t="s">
        <v>55</v>
      </c>
      <c r="B19" s="18" t="s">
        <v>200</v>
      </c>
      <c r="C19" s="17" t="s">
        <v>21</v>
      </c>
      <c r="D19" s="19">
        <v>530.0</v>
      </c>
      <c r="E19" s="20">
        <v>40.0</v>
      </c>
      <c r="F19" s="21">
        <f t="shared" ref="F19:F24" si="3">D19*E19</f>
        <v>21200</v>
      </c>
      <c r="G19" s="22">
        <v>0.1</v>
      </c>
      <c r="H19" s="21">
        <f t="shared" ref="H19:H24" si="4">F19*(1+G19)</f>
        <v>23320</v>
      </c>
    </row>
    <row r="20" ht="27.75" customHeight="1">
      <c r="A20" s="17" t="s">
        <v>57</v>
      </c>
      <c r="B20" s="18" t="s">
        <v>201</v>
      </c>
      <c r="C20" s="17" t="s">
        <v>28</v>
      </c>
      <c r="D20" s="19">
        <v>480.0</v>
      </c>
      <c r="E20" s="20">
        <v>9.0</v>
      </c>
      <c r="F20" s="21">
        <f t="shared" si="3"/>
        <v>4320</v>
      </c>
      <c r="G20" s="22">
        <v>0.1</v>
      </c>
      <c r="H20" s="21">
        <f t="shared" si="4"/>
        <v>4752</v>
      </c>
    </row>
    <row r="21" ht="27.75" customHeight="1">
      <c r="A21" s="17" t="s">
        <v>61</v>
      </c>
      <c r="B21" s="18" t="s">
        <v>202</v>
      </c>
      <c r="C21" s="17" t="s">
        <v>21</v>
      </c>
      <c r="D21" s="19">
        <v>220.0</v>
      </c>
      <c r="E21" s="20">
        <v>37.0</v>
      </c>
      <c r="F21" s="21">
        <f t="shared" si="3"/>
        <v>8140</v>
      </c>
      <c r="G21" s="22">
        <v>0.1</v>
      </c>
      <c r="H21" s="21">
        <f t="shared" si="4"/>
        <v>8954</v>
      </c>
    </row>
    <row r="22" ht="27.75" customHeight="1">
      <c r="A22" s="17" t="s">
        <v>63</v>
      </c>
      <c r="B22" s="18" t="s">
        <v>203</v>
      </c>
      <c r="C22" s="17" t="s">
        <v>35</v>
      </c>
      <c r="D22" s="19">
        <v>39.0</v>
      </c>
      <c r="E22" s="20">
        <v>280.0</v>
      </c>
      <c r="F22" s="21">
        <f t="shared" si="3"/>
        <v>10920</v>
      </c>
      <c r="G22" s="22">
        <v>0.1</v>
      </c>
      <c r="H22" s="21">
        <f t="shared" si="4"/>
        <v>12012</v>
      </c>
    </row>
    <row r="23" ht="27.75" customHeight="1">
      <c r="A23" s="17" t="s">
        <v>67</v>
      </c>
      <c r="B23" s="18" t="s">
        <v>204</v>
      </c>
      <c r="C23" s="17" t="s">
        <v>21</v>
      </c>
      <c r="D23" s="19">
        <v>320.0</v>
      </c>
      <c r="E23" s="20">
        <v>38.0</v>
      </c>
      <c r="F23" s="21">
        <f t="shared" si="3"/>
        <v>12160</v>
      </c>
      <c r="G23" s="22">
        <v>0.1</v>
      </c>
      <c r="H23" s="21">
        <f t="shared" si="4"/>
        <v>13376</v>
      </c>
    </row>
    <row r="24" ht="27.75" customHeight="1">
      <c r="A24" s="17" t="s">
        <v>71</v>
      </c>
      <c r="B24" s="18" t="s">
        <v>205</v>
      </c>
      <c r="C24" s="17" t="s">
        <v>21</v>
      </c>
      <c r="D24" s="19">
        <v>190.0</v>
      </c>
      <c r="E24" s="20">
        <v>46.0</v>
      </c>
      <c r="F24" s="21">
        <f t="shared" si="3"/>
        <v>8740</v>
      </c>
      <c r="G24" s="22">
        <v>0.1</v>
      </c>
      <c r="H24" s="21">
        <f t="shared" si="4"/>
        <v>9614</v>
      </c>
    </row>
    <row r="25" ht="21.75" customHeight="1">
      <c r="A25" s="23" t="s">
        <v>206</v>
      </c>
      <c r="B25" s="24"/>
      <c r="C25" s="24"/>
      <c r="D25" s="24"/>
      <c r="E25" s="25"/>
      <c r="F25" s="26">
        <f>SUM(F19:F24)</f>
        <v>65480</v>
      </c>
      <c r="G25" s="27"/>
      <c r="H25" s="26">
        <f>SUM(H19:H24)</f>
        <v>72028</v>
      </c>
    </row>
    <row r="26" ht="19.5" customHeight="1">
      <c r="A26" s="16" t="s">
        <v>207</v>
      </c>
      <c r="B26" s="6"/>
      <c r="C26" s="6"/>
      <c r="D26" s="6"/>
      <c r="E26" s="6"/>
      <c r="F26" s="6"/>
      <c r="G26" s="6"/>
      <c r="H26" s="7"/>
    </row>
    <row r="27" ht="27.75" customHeight="1">
      <c r="A27" s="17" t="s">
        <v>76</v>
      </c>
      <c r="B27" s="18" t="s">
        <v>208</v>
      </c>
      <c r="C27" s="17" t="s">
        <v>21</v>
      </c>
      <c r="D27" s="19">
        <v>280.0</v>
      </c>
      <c r="E27" s="20">
        <v>58.0</v>
      </c>
      <c r="F27" s="21">
        <f t="shared" ref="F27:F30" si="5">D27*E27</f>
        <v>16240</v>
      </c>
      <c r="G27" s="22">
        <v>0.2</v>
      </c>
      <c r="H27" s="21">
        <f t="shared" ref="H27:H30" si="6">F27*(1+G27)</f>
        <v>19488</v>
      </c>
    </row>
    <row r="28" ht="27.75" customHeight="1">
      <c r="A28" s="17" t="s">
        <v>78</v>
      </c>
      <c r="B28" s="18" t="s">
        <v>209</v>
      </c>
      <c r="C28" s="17" t="s">
        <v>28</v>
      </c>
      <c r="D28" s="19">
        <v>120.0</v>
      </c>
      <c r="E28" s="20">
        <v>72.0</v>
      </c>
      <c r="F28" s="21">
        <f t="shared" si="5"/>
        <v>8640</v>
      </c>
      <c r="G28" s="22">
        <v>0.2</v>
      </c>
      <c r="H28" s="21">
        <f t="shared" si="6"/>
        <v>10368</v>
      </c>
    </row>
    <row r="29" ht="27.75" customHeight="1">
      <c r="A29" s="17" t="s">
        <v>80</v>
      </c>
      <c r="B29" s="18" t="s">
        <v>210</v>
      </c>
      <c r="C29" s="17" t="s">
        <v>28</v>
      </c>
      <c r="D29" s="19">
        <v>320.0</v>
      </c>
      <c r="E29" s="20">
        <v>14.0</v>
      </c>
      <c r="F29" s="21">
        <f t="shared" si="5"/>
        <v>4480</v>
      </c>
      <c r="G29" s="22">
        <v>0.2</v>
      </c>
      <c r="H29" s="21">
        <f t="shared" si="6"/>
        <v>5376</v>
      </c>
    </row>
    <row r="30" ht="27.75" customHeight="1">
      <c r="A30" s="17" t="s">
        <v>84</v>
      </c>
      <c r="B30" s="18" t="s">
        <v>211</v>
      </c>
      <c r="C30" s="17" t="s">
        <v>86</v>
      </c>
      <c r="D30" s="19">
        <v>1.0</v>
      </c>
      <c r="E30" s="20">
        <v>5800.0</v>
      </c>
      <c r="F30" s="21">
        <f t="shared" si="5"/>
        <v>5800</v>
      </c>
      <c r="G30" s="22">
        <v>0.2</v>
      </c>
      <c r="H30" s="21">
        <f t="shared" si="6"/>
        <v>6960</v>
      </c>
    </row>
    <row r="31" ht="21.75" customHeight="1">
      <c r="A31" s="23" t="s">
        <v>212</v>
      </c>
      <c r="B31" s="24"/>
      <c r="C31" s="24"/>
      <c r="D31" s="24"/>
      <c r="E31" s="25"/>
      <c r="F31" s="26">
        <f>SUM(F27:F30)</f>
        <v>35160</v>
      </c>
      <c r="G31" s="27"/>
      <c r="H31" s="26">
        <f>SUM(H27:H30)</f>
        <v>42192</v>
      </c>
    </row>
    <row r="32" ht="15.75" customHeight="1"/>
    <row r="33" ht="21.75" customHeight="1">
      <c r="A33" s="36" t="s">
        <v>213</v>
      </c>
      <c r="B33" s="6"/>
      <c r="C33" s="6"/>
      <c r="D33" s="6"/>
      <c r="E33" s="7"/>
      <c r="F33" s="26">
        <f>(F17+F25+F31)*0.05</f>
        <v>11882</v>
      </c>
      <c r="G33" s="27"/>
      <c r="H33" s="26">
        <f>(H17+H25+H31)*0.05</f>
        <v>13931</v>
      </c>
    </row>
    <row r="34" ht="30.0" customHeight="1">
      <c r="A34" s="28" t="s">
        <v>214</v>
      </c>
      <c r="B34" s="24"/>
      <c r="C34" s="24"/>
      <c r="D34" s="24"/>
      <c r="E34" s="25"/>
      <c r="F34" s="29">
        <f>F17+F25+F31+F33</f>
        <v>249522</v>
      </c>
      <c r="G34" s="30"/>
      <c r="H34" s="29">
        <f>H17+H25+H31+H33</f>
        <v>292551</v>
      </c>
    </row>
    <row r="35" ht="15.75" customHeight="1"/>
    <row r="36" ht="36.0" customHeight="1">
      <c r="A36" s="9" t="s">
        <v>215</v>
      </c>
      <c r="B36" s="6"/>
      <c r="C36" s="6"/>
      <c r="D36" s="6"/>
      <c r="E36" s="6"/>
      <c r="F36" s="6"/>
      <c r="G36" s="6"/>
      <c r="H36" s="7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5:E25"/>
    <mergeCell ref="A31:E31"/>
    <mergeCell ref="A33:E33"/>
    <mergeCell ref="A34:E34"/>
    <mergeCell ref="A36:H36"/>
    <mergeCell ref="A1:H1"/>
    <mergeCell ref="A2:H2"/>
    <mergeCell ref="A3:H3"/>
    <mergeCell ref="A5:H5"/>
    <mergeCell ref="A17:E17"/>
    <mergeCell ref="A18:H18"/>
    <mergeCell ref="A26:H2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14.0"/>
    <col customWidth="1" min="4" max="4" width="24.0"/>
    <col customWidth="1" min="5" max="5" width="18.0"/>
    <col customWidth="1" min="6" max="26" width="8.71"/>
  </cols>
  <sheetData>
    <row r="1" ht="49.5" customHeight="1">
      <c r="A1" s="37" t="s">
        <v>216</v>
      </c>
      <c r="B1" s="2"/>
      <c r="C1" s="2"/>
      <c r="D1" s="2"/>
      <c r="E1" s="3"/>
    </row>
    <row r="2" ht="27.75" customHeight="1">
      <c r="A2" s="9" t="s">
        <v>217</v>
      </c>
      <c r="B2" s="6"/>
      <c r="C2" s="6"/>
      <c r="D2" s="6"/>
      <c r="E2" s="7"/>
    </row>
    <row r="4" ht="34.5" customHeight="1">
      <c r="A4" s="15" t="s">
        <v>218</v>
      </c>
      <c r="B4" s="15" t="s">
        <v>219</v>
      </c>
      <c r="C4" s="15" t="s">
        <v>220</v>
      </c>
      <c r="D4" s="15" t="s">
        <v>221</v>
      </c>
      <c r="E4" s="15" t="s">
        <v>222</v>
      </c>
    </row>
    <row r="5" ht="27.75" customHeight="1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</row>
    <row r="6" ht="27.75" customHeight="1">
      <c r="A6" s="32" t="s">
        <v>228</v>
      </c>
      <c r="B6" s="32" t="s">
        <v>224</v>
      </c>
      <c r="C6" s="32" t="s">
        <v>229</v>
      </c>
      <c r="D6" s="32" t="s">
        <v>226</v>
      </c>
      <c r="E6" s="32" t="s">
        <v>227</v>
      </c>
    </row>
    <row r="7" ht="27.75" customHeight="1">
      <c r="A7" s="18" t="s">
        <v>230</v>
      </c>
      <c r="B7" s="18" t="s">
        <v>231</v>
      </c>
      <c r="C7" s="18" t="s">
        <v>232</v>
      </c>
      <c r="D7" s="18" t="s">
        <v>233</v>
      </c>
      <c r="E7" s="18" t="s">
        <v>234</v>
      </c>
    </row>
    <row r="9" ht="21.75" customHeight="1">
      <c r="A9" s="16" t="s">
        <v>235</v>
      </c>
      <c r="B9" s="6"/>
      <c r="C9" s="6"/>
      <c r="D9" s="6"/>
      <c r="E9" s="7"/>
    </row>
    <row r="10" ht="34.5" customHeight="1">
      <c r="A10" s="15" t="s">
        <v>236</v>
      </c>
      <c r="B10" s="15" t="s">
        <v>237</v>
      </c>
      <c r="C10" s="15" t="s">
        <v>238</v>
      </c>
      <c r="D10" s="15" t="s">
        <v>239</v>
      </c>
      <c r="E10" s="15" t="s">
        <v>240</v>
      </c>
    </row>
    <row r="11" ht="24.0" customHeight="1">
      <c r="A11" s="18" t="s">
        <v>241</v>
      </c>
      <c r="B11" s="18" t="s">
        <v>242</v>
      </c>
      <c r="C11" s="18" t="s">
        <v>243</v>
      </c>
      <c r="D11" s="18" t="s">
        <v>244</v>
      </c>
      <c r="E11" s="18" t="s">
        <v>245</v>
      </c>
    </row>
    <row r="12" ht="24.0" customHeight="1">
      <c r="A12" s="38" t="s">
        <v>246</v>
      </c>
      <c r="B12" s="38" t="s">
        <v>242</v>
      </c>
      <c r="C12" s="38" t="s">
        <v>243</v>
      </c>
      <c r="D12" s="38" t="s">
        <v>247</v>
      </c>
      <c r="E12" s="38" t="s">
        <v>248</v>
      </c>
    </row>
    <row r="13" ht="24.0" customHeight="1">
      <c r="A13" s="18" t="s">
        <v>249</v>
      </c>
      <c r="B13" s="18" t="s">
        <v>242</v>
      </c>
      <c r="C13" s="18" t="s">
        <v>243</v>
      </c>
      <c r="D13" s="18" t="s">
        <v>250</v>
      </c>
      <c r="E13" s="18" t="s">
        <v>251</v>
      </c>
    </row>
    <row r="14" ht="24.0" customHeight="1">
      <c r="A14" s="38" t="s">
        <v>252</v>
      </c>
      <c r="B14" s="38" t="s">
        <v>242</v>
      </c>
      <c r="C14" s="38" t="s">
        <v>243</v>
      </c>
      <c r="D14" s="38" t="s">
        <v>247</v>
      </c>
      <c r="E14" s="38" t="s">
        <v>253</v>
      </c>
    </row>
    <row r="15" ht="24.0" customHeight="1">
      <c r="A15" s="18" t="s">
        <v>254</v>
      </c>
      <c r="B15" s="18" t="s">
        <v>255</v>
      </c>
      <c r="C15" s="18" t="s">
        <v>243</v>
      </c>
      <c r="D15" s="18" t="s">
        <v>256</v>
      </c>
      <c r="E15" s="18" t="s">
        <v>257</v>
      </c>
    </row>
    <row r="16" ht="24.0" customHeight="1">
      <c r="A16" s="38" t="s">
        <v>258</v>
      </c>
      <c r="B16" s="38" t="s">
        <v>259</v>
      </c>
      <c r="C16" s="38" t="s">
        <v>260</v>
      </c>
      <c r="D16" s="38" t="s">
        <v>261</v>
      </c>
      <c r="E16" s="38" t="s">
        <v>262</v>
      </c>
    </row>
    <row r="17" ht="24.0" customHeight="1">
      <c r="A17" s="18" t="s">
        <v>263</v>
      </c>
      <c r="B17" s="18" t="s">
        <v>259</v>
      </c>
      <c r="C17" s="18" t="s">
        <v>264</v>
      </c>
      <c r="D17" s="18" t="s">
        <v>261</v>
      </c>
      <c r="E17" s="18" t="s">
        <v>265</v>
      </c>
    </row>
    <row r="18" ht="24.0" customHeight="1">
      <c r="A18" s="38" t="s">
        <v>266</v>
      </c>
      <c r="B18" s="38" t="s">
        <v>259</v>
      </c>
      <c r="C18" s="38" t="s">
        <v>264</v>
      </c>
      <c r="D18" s="38" t="s">
        <v>267</v>
      </c>
      <c r="E18" s="38" t="s">
        <v>268</v>
      </c>
    </row>
    <row r="19" ht="24.0" customHeight="1">
      <c r="A19" s="18" t="s">
        <v>269</v>
      </c>
      <c r="B19" s="18" t="s">
        <v>259</v>
      </c>
      <c r="C19" s="18" t="s">
        <v>270</v>
      </c>
      <c r="D19" s="18" t="s">
        <v>271</v>
      </c>
      <c r="E19" s="18" t="s">
        <v>272</v>
      </c>
    </row>
    <row r="20" ht="24.0" customHeight="1">
      <c r="A20" s="38" t="s">
        <v>273</v>
      </c>
      <c r="B20" s="38" t="s">
        <v>274</v>
      </c>
      <c r="C20" s="38" t="s">
        <v>275</v>
      </c>
      <c r="D20" s="38" t="s">
        <v>276</v>
      </c>
      <c r="E20" s="38" t="s">
        <v>277</v>
      </c>
    </row>
    <row r="21" ht="24.0" customHeight="1">
      <c r="A21" s="18" t="s">
        <v>278</v>
      </c>
      <c r="B21" s="18" t="s">
        <v>259</v>
      </c>
      <c r="C21" s="18" t="s">
        <v>279</v>
      </c>
      <c r="D21" s="18" t="s">
        <v>276</v>
      </c>
      <c r="E21" s="18" t="s">
        <v>277</v>
      </c>
    </row>
    <row r="22" ht="15.75" customHeight="1"/>
    <row r="23" ht="49.5" customHeight="1">
      <c r="A23" s="35" t="s">
        <v>280</v>
      </c>
      <c r="B23" s="6"/>
      <c r="C23" s="6"/>
      <c r="D23" s="6"/>
      <c r="E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9:E9"/>
    <mergeCell ref="A23:E23"/>
  </mergeCells>
  <printOptions/>
  <pageMargins bottom="1.0" footer="0.0" header="0.0" left="0.75" right="0.75" top="1.0"/>
  <pageSetup paperSize="9" orientation="portrait"/>
  <drawing r:id="rId1"/>
</worksheet>
</file>