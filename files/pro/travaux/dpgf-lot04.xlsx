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T N4 - PLÂTRERIE  DOUBLAGES  " sheetId="1" r:id="rId4"/>
  </sheets>
  <definedNames/>
  <calcPr/>
  <extLst>
    <ext uri="GoogleSheetsCustomDataVersion2">
      <go:sheetsCustomData xmlns:go="http://customooxmlschemas.google.com/" r:id="rId5" roundtripDataChecksum="GXSUET9BIxxIi+2dnoUt7U635SfWHKYWqa/1Pg0TFYI="/>
    </ext>
  </extLst>
</workbook>
</file>

<file path=xl/sharedStrings.xml><?xml version="1.0" encoding="utf-8"?>
<sst xmlns="http://schemas.openxmlformats.org/spreadsheetml/2006/main" count="129" uniqueCount="88">
  <si>
    <t>PAS de distinction Libres / Sociaaux-Abordables. Prestations identiques pour tous les 69 logements et parties communes.</t>
  </si>
  <si>
    <t>U</t>
  </si>
  <si>
    <t>Quantité MOE</t>
  </si>
  <si>
    <t>Prix en €</t>
  </si>
  <si>
    <t>Total en €</t>
  </si>
  <si>
    <t>PRESCRIPTIONS TECHNIQUES PARTICULIERES</t>
  </si>
  <si>
    <t>CH3</t>
  </si>
  <si>
    <t>4.1. CLOISONS INTÉRIEURES</t>
  </si>
  <si>
    <t>4.1.1. Cloisons distribution logements : cloison de distribution 72/48 — 1 plaque BA13 chaque face, laine minérale 45mm. Rw ≥ 40 dB. Finition Q3. Inclus : huisseries, feuillures, joints acoustiques périmètre.</t>
  </si>
  <si>
    <t>m²</t>
  </si>
  <si>
    <t xml:space="preserve">Env 3000 + 1000 de plus value hydrofuge
</t>
  </si>
  <si>
    <t>4.1.2. Cloisons séparatives entre logements double ossature de 160 à 200 mm avec 4 plaques au total — 2 plaques BA13 chaque face, laine minérale. DnT,A ≥ 53 dB (exigence CCTP logements mitoyens). Joints acoustiques obligatoires.</t>
  </si>
  <si>
    <t>4.1.3. Cloisons séparation entre logements et les commerces : Double ossature, double parement avec 1 face PPF13 côté commerce. EI 60. Hauteur dalle à dalle.</t>
  </si>
  <si>
    <t>Prix plus élevé (115€/m²) car la cloison doit monter de "dalle à dalle" (souvent &gt; 3m en RDC commercial) et inclut une plaque coupe-feu (PPF13).</t>
  </si>
  <si>
    <t>4.1.4. Cloison humide (SDB/WC) — plaque hydrofuge BA13H chaque face, laine minérale. Finition Q3.</t>
  </si>
  <si>
    <t>4.1.5. Cloisons circulations communes : Séparatives circulation/logements. Double ossature, double parement BA13. Rw ≥ 55dB.</t>
  </si>
  <si>
    <t>ART</t>
  </si>
  <si>
    <t>000-B802</t>
  </si>
  <si>
    <t>4.1.6. Cloisons locaux techniques</t>
  </si>
  <si>
    <t>4.1.7. Renforts et ossatures complémentaires comprend à l'unité par logement : les renforts pour sanitaires suspendus (WC, vasques), le doublage des montants aux droits des blocs-portes, les chevêtres pour gaines techniques et réservations de trappes (conformément aux §2.4 et 2.5 du CCTP).</t>
  </si>
  <si>
    <t>LOGT</t>
  </si>
  <si>
    <t>(69 logements + 2 commerces)</t>
  </si>
  <si>
    <t>000-B803</t>
  </si>
  <si>
    <t>4.2. DOUBLAGES THERMIQUES ET ACOUSTIQUES</t>
  </si>
  <si>
    <t>CH4</t>
  </si>
  <si>
    <t>4.2.1. Doublage sur ossature métallique (murs extérieurs) : Système type Optima. Isolant laine de roche semi-rigide (40-60mm), λ≤0,035. Parement BA13 (Standard ou Hydro en SDB). R ≥ 1,15 m².K/W. Finition Q3.</t>
  </si>
  <si>
    <t>Environ 0,70 m² de doublage extérieur par m² de SH</t>
  </si>
  <si>
    <t>4.2.2. Doublage acoustique (refends et mitoyens) : Ossature métallique désolidarisée, laine de roche 45mm + plaque BA13. Performance pour objectif DnT,A ≥ 53/55 dB.</t>
  </si>
  <si>
    <t>3 zones critiques où le doublage acoustique sur mur dur est indispensable : les cages d'escaliers et ascenseurs, les séparations entre segments et les halls et locaux communs.</t>
  </si>
  <si>
    <t>000-B804</t>
  </si>
  <si>
    <t>4.2.3. Traitement des ponts thermiques et points singuliers : Retours d'isolant en tableaux de baies, jonctions dalles/voiles, calfeutrement coffres de volets roulants.</t>
  </si>
  <si>
    <t>Ens</t>
  </si>
  <si>
    <t>4.2.4. Étanchéité à l'air (Conformité RE2020) : Membranes, rubans adhésifs techniques, joints élastomères et traitement des points de transpercement (manchons).</t>
  </si>
  <si>
    <t>La RE2020 est très stricte : on chiffre souvent ce poste à la SH globale pour couvrir l'ensemble des membranes et adhésifs nécessaires sur tout le volume chauffé.</t>
  </si>
  <si>
    <t>4.3. OUVRAGES DE FAUX PLAFONDS (Structure &amp; Plaques)</t>
  </si>
  <si>
    <t>4.3.1. Faux plafond fixe BA13 sur ossature (Logements) : ossature métallique suspendue (plénum &gt; 200mm). Plaques BA13 standard ou H1 (hydro) en pièces humides. Inclus joints 3 passes.</t>
  </si>
  <si>
    <r>
      <rPr>
        <rFont val="Calibri"/>
        <color rgb="FF000000"/>
        <sz val="11.0"/>
      </rPr>
      <t>BA13 uniquement pour les pièces humides et les circulations horizontales afin d'optimiser les coûts et la hauteur sous plafond, le reste étant traité en enduit sous dalle</t>
    </r>
    <r>
      <rPr>
        <rFont val="Calibri"/>
        <color rgb="FF000000"/>
        <sz val="12.0"/>
      </rPr>
      <t>.</t>
    </r>
  </si>
  <si>
    <t>000-B809</t>
  </si>
  <si>
    <t>4.3.2. Faux plafond démontable 600x600 (Locaux techniques) : Dalles minérales acoustiques αw ≥0,60 sur ossature T24 apparente. RH 90% et classement feu A2-s1,d0.</t>
  </si>
  <si>
    <t>4.3.3. Trappes de visite (600x600 ou 400x400) : Cadre alu, affleurante. Pour accès VMC DF, vannes et réseaux.</t>
  </si>
  <si>
    <t>000-K290</t>
  </si>
  <si>
    <t>4.4. FINITIONS</t>
  </si>
  <si>
    <t>000-K291</t>
  </si>
  <si>
    <t>4.4.1. Enduit lissé Q3 qualitatif (Segment Libre)</t>
  </si>
  <si>
    <t>Le Q3 est le standard du bâtiment = on traite les joints, on élargit la passe, on ponce. C'est suffisant pour une peinture mate ou satinée classique. Le Q4 est beaucoup plus cher car il demande un ratissage complet de la surface de la plaque. On ne se contente plus de faire les joints, on applique une pellicule d'enduit sur 100% de la cloison. C'est ce qui évite de voir "les bandes" quand il y a une lumière rasante (baies vitrées du segment Libre).</t>
  </si>
  <si>
    <t>4.4.2. Enduit lissé Q3 (Social/Abordable)</t>
  </si>
  <si>
    <t>4.4.3. Ragréage sur supports béton</t>
  </si>
  <si>
    <t>4.4.4. Baguettes d'angles (Alu/Galva)</t>
  </si>
  <si>
    <t>ml</t>
  </si>
  <si>
    <t>4.4.5. Calicot armé sur joints/fissures</t>
  </si>
  <si>
    <t>Angles rentrants complexes, jonctions avec menuiseries bois, ou fissures sur support béton existant.</t>
  </si>
  <si>
    <t>4.5. COFFRAGES ET HABILLAGES (Tronc commun)</t>
  </si>
  <si>
    <t>000-C746</t>
  </si>
  <si>
    <t>4.5.1. Gaines techniques verticales : habillage en BA13 sur ossature pour colonnes montantes (EU/EP/VMC/Elec). Inclus trappes de visite affleurantes.</t>
  </si>
  <si>
    <t>En moyenne 2,5 gaines par logement (1 pour la cuisine/VMC, 1 pour la SDB, 0,5 pour les parties communes) / Métré = 69 logements × 2,5 gaines = 172 gaines / Hauteur : Chaque gaine fait la hauteur d'un étage (environ 3 mètres) = 172 gaines×3 m=516 ml, arrondi à 520 ml.</t>
  </si>
  <si>
    <t>4.5.2. Coffres de Volets Roulants (VR) : Habillage intérieur en plaques de plâtre. Isolation renforcée pour continuité thermique ITE (CCTP §7.1).</t>
  </si>
  <si>
    <t>Estimation environ 4 fenêtres par logement (69 x 4 = 276, arrondi à 270)</t>
  </si>
  <si>
    <t>000-C807</t>
  </si>
  <si>
    <t>4.5.3. Habillage acoustique des chutes EU/EP : Coffrage spécifique sur ossature désolidarisée pour réduction des bruits d'écoulement.</t>
  </si>
  <si>
    <t>(petits coffres spécifiques pour les tuyaux d'évacuation des Eaux Usées (EU) et Eaux Pluviales (EP)) / 69×5 ml=345 ml, arrondi à 350 ml</t>
  </si>
  <si>
    <t>4.5.4. Coffrages horizontaux et retombées : Habillage des retombées de poutres et passages de réseaux horizontaux en plafond.</t>
  </si>
  <si>
    <t>000-F756</t>
  </si>
  <si>
    <t>4.6. OUVRAGES SPÉCIFIQUES &amp; DÉCORATIFS (Différenciation)</t>
  </si>
  <si>
    <t>4.6.1. Niches lumineuses LED (Segment Libre) : Création d'une retombée de faux-plafond avec creux linéaire pour bandeau LED indirect (Séjours T4/T5).</t>
  </si>
  <si>
    <t>On prévoit environ 18 ml de niche périmétrique pour faire le tour complet de la zone salon/salle à manger / 15 logts×18 ml=270 ml.</t>
  </si>
  <si>
    <t>4.6.2. Réservations de niches carrelées (Douches) : Ossature renforcée, fond BA13 H1 et profilés d'arêtes (CCTP §7.2).</t>
  </si>
  <si>
    <t>Le CCTP précise "chaque salle d'eau" du segment Libre = 30 SDE</t>
  </si>
  <si>
    <t>000-K289</t>
  </si>
  <si>
    <t>4.6.3. Découpes et réservations pour spots LED : Perçages précis pour spots encastrés (Entrées et SDB segment Libre).</t>
  </si>
  <si>
    <t>Entrée : 3 spots / SDB : 5 spots = Total : 8 par logement × 30 lots = 240 réservations.</t>
  </si>
  <si>
    <t>4.6.4. Baguettes d'angles Alu laqué (Murs/Plafonds) : Finition décorative spécifique segment Libre (CCTP §7.2).</t>
  </si>
  <si>
    <t>On compte environ 70 ml de jonction mur/plafond par logement Libre : 30 logts Libres×70 ml=2100 ml.</t>
  </si>
  <si>
    <t>4.6.5. Habillage spécifique Hall et Boîtes aux Lettres : Niche renforcée, finition Q4, intégration du bloc BAL normalisé.</t>
  </si>
  <si>
    <t>4.6.6. Habillage de gaine ascenseur (Coupe-feu) : Réalisation de parois verticales en plaques PPF 13 (rose) sur ossature renforcée. Inclus trappe de visite coupe-feu en partie haute et calfeutrements spécifiques. Conformité § 7.5 du CCTP.</t>
  </si>
  <si>
    <t>4.7. Nettoyage et évacuation des déchets</t>
  </si>
  <si>
    <t>Forfait</t>
  </si>
  <si>
    <t>1,5% à 2% du montant total de votre lot.</t>
  </si>
  <si>
    <t xml:space="preserve">Montant HT du Lot N°03 Revêtements de sols durs </t>
  </si>
  <si>
    <t>TOTHT</t>
  </si>
  <si>
    <t>Taux TVA</t>
  </si>
  <si>
    <t>TAUX_TVA</t>
  </si>
  <si>
    <t>Montant TVA</t>
  </si>
  <si>
    <t>TVA</t>
  </si>
  <si>
    <t>Montant TTC</t>
  </si>
  <si>
    <t>TOTTTC</t>
  </si>
  <si>
    <t>NUMERO DU DEVIS</t>
  </si>
  <si>
    <t>DATE DU DEVIS</t>
  </si>
  <si>
    <t>DURÉE DE VALIDITÉ DU DEVIS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</si>
</sst>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0\ [$€-1]"/>
    <numFmt numFmtId="165" formatCode="#,##0.000;\-#,##0.000;"/>
    <numFmt numFmtId="166" formatCode="#,##0.00;\-#,##0.00;"/>
    <numFmt numFmtId="167" formatCode="#,##0;\-#,##0;"/>
    <numFmt numFmtId="168" formatCode="#,##0.0;\-#,##0.0;"/>
    <numFmt numFmtId="169" formatCode="D/M/YYYY"/>
  </numFmts>
  <fonts count="21">
    <font>
      <sz val="11.0"/>
      <color theme="1"/>
      <name val="Calibri"/>
      <scheme val="minor"/>
    </font>
    <font>
      <sz val="11.0"/>
      <color theme="1"/>
      <name val="Calibri"/>
    </font>
    <font/>
    <font>
      <b/>
      <sz val="11.0"/>
      <color theme="1"/>
      <name val="Calibri"/>
    </font>
    <font>
      <b/>
      <sz val="14.0"/>
      <color rgb="FF0000FF"/>
      <name val="Calibri"/>
    </font>
    <font>
      <b/>
      <sz val="14.0"/>
      <color rgb="FF980000"/>
      <name val="Calibri"/>
    </font>
    <font>
      <color theme="1"/>
      <name val="Calibri"/>
    </font>
    <font>
      <i/>
      <sz val="10.0"/>
      <color rgb="FF000000"/>
      <name val="Calibri"/>
    </font>
    <font>
      <b/>
      <sz val="12.0"/>
      <color rgb="FF000000"/>
      <name val="Calibri"/>
    </font>
    <font>
      <sz val="11.0"/>
      <color rgb="FF000000"/>
      <name val="Calibri"/>
    </font>
    <font>
      <color theme="1"/>
      <name val="Calibri"/>
      <scheme val="minor"/>
    </font>
    <font>
      <sz val="11.0"/>
      <color rgb="FF000000"/>
      <name val="Calibri"/>
      <scheme val="minor"/>
    </font>
    <font>
      <color rgb="FF000000"/>
      <name val="Calibri"/>
      <scheme val="minor"/>
    </font>
    <font>
      <b/>
      <sz val="11.0"/>
      <color rgb="FF000000"/>
      <name val="Calibri"/>
    </font>
    <font>
      <i/>
      <sz val="11.0"/>
      <color rgb="FF000000"/>
      <name val="Calibri"/>
    </font>
    <font>
      <b/>
      <sz val="12.0"/>
      <color theme="1"/>
      <name val="Calibri"/>
    </font>
    <font>
      <sz val="12.0"/>
      <color rgb="FF000000"/>
      <name val="Calibri"/>
    </font>
    <font>
      <b/>
      <i/>
      <sz val="12.0"/>
      <color rgb="FF000000"/>
      <name val="Calibri"/>
    </font>
    <font>
      <b/>
      <sz val="12.0"/>
      <color theme="1"/>
      <name val="Calibri"/>
      <scheme val="minor"/>
    </font>
    <font>
      <sz val="12.0"/>
      <color rgb="FF000000"/>
      <name val="Comic Sans MS"/>
    </font>
    <font>
      <sz val="10.0"/>
      <color rgb="FF000000"/>
      <name val="Comic Sans MS"/>
    </font>
  </fonts>
  <fills count="3">
    <fill>
      <patternFill patternType="none"/>
    </fill>
    <fill>
      <patternFill patternType="lightGray"/>
    </fill>
    <fill>
      <patternFill patternType="solid">
        <fgColor rgb="FFD9D9D9"/>
        <bgColor rgb="FFD9D9D9"/>
      </patternFill>
    </fill>
  </fills>
  <borders count="2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910606"/>
      </bottom>
    </border>
    <border>
      <right style="hair">
        <color rgb="FF000000"/>
      </right>
      <top style="thin">
        <color rgb="FF000000"/>
      </top>
      <bottom style="thin">
        <color rgb="FF910606"/>
      </bottom>
    </border>
    <border>
      <left style="hair">
        <color rgb="FF000000"/>
      </left>
      <right style="hair">
        <color rgb="FF000000"/>
      </right>
      <top style="thin">
        <color rgb="FF000000"/>
      </top>
    </border>
    <border>
      <left style="hair">
        <color rgb="FF000000"/>
      </left>
      <right style="thin">
        <color rgb="FF000000"/>
      </right>
      <top style="thin">
        <color rgb="FF000000"/>
      </top>
    </border>
    <border>
      <left style="thin">
        <color rgb="FF910606"/>
      </left>
      <top style="thin">
        <color rgb="FF910606"/>
      </top>
      <bottom style="thin">
        <color rgb="FF910606"/>
      </bottom>
    </border>
    <border>
      <right style="hair">
        <color rgb="FF910606"/>
      </right>
      <top style="thin">
        <color rgb="FF910606"/>
      </top>
      <bottom style="thin">
        <color rgb="FF910606"/>
      </bottom>
    </border>
    <border>
      <left style="hair">
        <color rgb="FF000000"/>
      </left>
      <right style="hair">
        <color rgb="FF000000"/>
      </right>
    </border>
    <border>
      <left style="hair">
        <color rgb="FF000000"/>
      </left>
      <right style="thin">
        <color rgb="FF000000"/>
      </right>
    </border>
    <border>
      <left style="thin">
        <color rgb="FF000000"/>
      </left>
    </border>
    <border>
      <right style="dotted">
        <color rgb="FF000000"/>
      </right>
    </border>
    <border>
      <right style="hair">
        <color rgb="FF000000"/>
      </right>
    </border>
    <border>
      <left style="thin">
        <color rgb="FF000000"/>
      </left>
      <right/>
      <top/>
      <bottom/>
    </border>
    <border>
      <left style="hair">
        <color rgb="FF000000"/>
      </left>
      <right style="hair">
        <color rgb="FF000000"/>
      </right>
      <top/>
      <bottom/>
    </border>
    <border>
      <left/>
      <right style="hair">
        <color rgb="FF000000"/>
      </right>
      <top/>
      <bottom/>
    </border>
    <border>
      <right style="thin">
        <color rgb="FF000000"/>
      </right>
    </border>
    <border>
      <top style="thin">
        <color rgb="FF000000"/>
      </top>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1" fillId="0" fontId="1" numFmtId="49" xfId="0" applyAlignment="1" applyBorder="1" applyFont="1" applyNumberFormat="1">
      <alignment horizontal="left" shrinkToFit="0" vertical="top" wrapText="1"/>
    </xf>
    <xf borderId="2" fillId="0" fontId="2" numFmtId="0" xfId="0" applyBorder="1" applyFont="1"/>
    <xf borderId="3" fillId="0" fontId="2" numFmtId="0" xfId="0" applyBorder="1" applyFont="1"/>
    <xf borderId="3" fillId="0" fontId="1" numFmtId="0" xfId="0" applyAlignment="1" applyBorder="1" applyFont="1">
      <alignment horizontal="center" readingOrder="0" shrinkToFit="0" vertical="top" wrapText="1"/>
    </xf>
    <xf borderId="4" fillId="0" fontId="3" numFmtId="0" xfId="0" applyAlignment="1" applyBorder="1" applyFont="1">
      <alignment horizontal="center" shrinkToFit="0" vertical="top" wrapText="1"/>
    </xf>
    <xf borderId="4" fillId="0" fontId="3" numFmtId="164" xfId="0" applyAlignment="1" applyBorder="1" applyFont="1" applyNumberFormat="1">
      <alignment horizontal="center" shrinkToFit="0" vertical="top" wrapText="1"/>
    </xf>
    <xf borderId="4" fillId="0" fontId="3" numFmtId="0" xfId="0" applyAlignment="1" applyBorder="1" applyFont="1">
      <alignment horizontal="right" shrinkToFit="0" vertical="top" wrapText="1"/>
    </xf>
    <xf borderId="5" fillId="0" fontId="1" numFmtId="49" xfId="0" applyAlignment="1" applyBorder="1" applyFont="1" applyNumberFormat="1">
      <alignment horizontal="left" shrinkToFit="0" vertical="top" wrapText="1"/>
    </xf>
    <xf borderId="6" fillId="0" fontId="1" numFmtId="0" xfId="0" applyAlignment="1" applyBorder="1" applyFont="1">
      <alignment horizontal="left" shrinkToFit="0" vertical="top" wrapText="1"/>
    </xf>
    <xf borderId="7" fillId="0" fontId="1" numFmtId="0" xfId="0" applyAlignment="1" applyBorder="1" applyFont="1">
      <alignment horizontal="center" shrinkToFit="0" vertical="top" wrapText="1"/>
    </xf>
    <xf borderId="7" fillId="0" fontId="1" numFmtId="164" xfId="0" applyAlignment="1" applyBorder="1" applyFont="1" applyNumberFormat="1">
      <alignment horizontal="center" shrinkToFit="0" vertical="top" wrapText="1"/>
    </xf>
    <xf borderId="8" fillId="0" fontId="1" numFmtId="0" xfId="0" applyAlignment="1" applyBorder="1" applyFont="1">
      <alignment horizontal="left" shrinkToFit="0" vertical="top" wrapText="1"/>
    </xf>
    <xf borderId="9" fillId="0" fontId="4" numFmtId="49" xfId="0" applyAlignment="1" applyBorder="1" applyFont="1" applyNumberFormat="1">
      <alignment horizontal="left" shrinkToFit="0" vertical="top" wrapText="1"/>
    </xf>
    <xf borderId="10" fillId="0" fontId="5" numFmtId="0" xfId="0" applyAlignment="1" applyBorder="1" applyFont="1">
      <alignment horizontal="left" shrinkToFit="0" vertical="top" wrapText="1"/>
    </xf>
    <xf borderId="11" fillId="0" fontId="1" numFmtId="0" xfId="0" applyAlignment="1" applyBorder="1" applyFont="1">
      <alignment horizontal="center" shrinkToFit="0" vertical="top" wrapText="1"/>
    </xf>
    <xf borderId="11" fillId="0" fontId="1" numFmtId="164" xfId="0" applyAlignment="1" applyBorder="1" applyFont="1" applyNumberFormat="1">
      <alignment horizontal="center" shrinkToFit="0" vertical="top" wrapText="1"/>
    </xf>
    <xf borderId="12" fillId="0" fontId="1" numFmtId="0" xfId="0" applyAlignment="1" applyBorder="1" applyFont="1">
      <alignment horizontal="left" shrinkToFit="0" vertical="top" wrapText="1"/>
    </xf>
    <xf borderId="0" fillId="0" fontId="6" numFmtId="0" xfId="0" applyFont="1"/>
    <xf borderId="0" fillId="0" fontId="1" numFmtId="49" xfId="0" applyAlignment="1" applyFont="1" applyNumberFormat="1">
      <alignment horizontal="left" shrinkToFit="0" vertical="top" wrapText="1"/>
    </xf>
    <xf borderId="13" fillId="2" fontId="7" numFmtId="49" xfId="0" applyAlignment="1" applyBorder="1" applyFill="1" applyFont="1" applyNumberFormat="1">
      <alignment horizontal="left" shrinkToFit="0" vertical="top" wrapText="1"/>
    </xf>
    <xf borderId="0" fillId="2" fontId="8" numFmtId="0" xfId="0" applyAlignment="1" applyFont="1">
      <alignment readingOrder="0"/>
    </xf>
    <xf borderId="11" fillId="2" fontId="1" numFmtId="0" xfId="0" applyAlignment="1" applyBorder="1" applyFont="1">
      <alignment horizontal="center" vertical="top"/>
    </xf>
    <xf borderId="11" fillId="2" fontId="1" numFmtId="165" xfId="0" applyAlignment="1" applyBorder="1" applyFont="1" applyNumberFormat="1">
      <alignment horizontal="center" shrinkToFit="0" vertical="top" wrapText="1"/>
    </xf>
    <xf borderId="11" fillId="2" fontId="1" numFmtId="164" xfId="0" applyAlignment="1" applyBorder="1" applyFont="1" applyNumberFormat="1">
      <alignment horizontal="center" shrinkToFit="0" vertical="top" wrapText="1"/>
    </xf>
    <xf borderId="12" fillId="2" fontId="1" numFmtId="166" xfId="0" applyAlignment="1" applyBorder="1" applyFont="1" applyNumberFormat="1">
      <alignment horizontal="right" shrinkToFit="0" vertical="top" wrapText="1"/>
    </xf>
    <xf borderId="13" fillId="0" fontId="7" numFmtId="49" xfId="0" applyAlignment="1" applyBorder="1" applyFont="1" applyNumberFormat="1">
      <alignment horizontal="left" shrinkToFit="0" vertical="center" wrapText="1"/>
    </xf>
    <xf borderId="0" fillId="0" fontId="9" numFmtId="0" xfId="0" applyAlignment="1" applyFont="1">
      <alignment horizontal="left" readingOrder="0" shrinkToFit="0" vertical="center" wrapText="1"/>
    </xf>
    <xf borderId="14" fillId="0" fontId="9" numFmtId="0" xfId="0" applyAlignment="1" applyBorder="1" applyFont="1">
      <alignment horizontal="center" readingOrder="0" shrinkToFit="0" vertical="center" wrapText="0"/>
    </xf>
    <xf borderId="14" fillId="0" fontId="9" numFmtId="0" xfId="0" applyAlignment="1" applyBorder="1" applyFont="1">
      <alignment horizontal="center" readingOrder="0" vertical="center"/>
    </xf>
    <xf borderId="14" fillId="0" fontId="9" numFmtId="164" xfId="0" applyAlignment="1" applyBorder="1" applyFont="1" applyNumberFormat="1">
      <alignment horizontal="center" readingOrder="0" vertical="center"/>
    </xf>
    <xf borderId="14" fillId="0" fontId="1" numFmtId="164" xfId="0" applyAlignment="1" applyBorder="1" applyFont="1" applyNumberFormat="1">
      <alignment horizontal="center" shrinkToFit="0" vertical="center" wrapText="1"/>
    </xf>
    <xf borderId="0" fillId="0" fontId="1" numFmtId="0" xfId="0" applyAlignment="1" applyFont="1">
      <alignment horizontal="left" readingOrder="0" vertical="center"/>
    </xf>
    <xf borderId="0" fillId="0" fontId="1" numFmtId="0" xfId="0" applyAlignment="1" applyFont="1">
      <alignment horizontal="left" vertical="center"/>
    </xf>
    <xf borderId="0" fillId="0" fontId="10" numFmtId="0" xfId="0" applyAlignment="1" applyFont="1">
      <alignment horizontal="left" vertical="center"/>
    </xf>
    <xf borderId="0" fillId="0" fontId="1" numFmtId="49" xfId="0" applyAlignment="1" applyFont="1" applyNumberFormat="1">
      <alignment horizontal="left" shrinkToFit="0" vertical="center" wrapText="1"/>
    </xf>
    <xf borderId="13" fillId="0" fontId="7" numFmtId="49" xfId="0" applyAlignment="1" applyBorder="1" applyFont="1" applyNumberFormat="1">
      <alignment horizontal="left" shrinkToFit="0" vertical="top" wrapText="1"/>
    </xf>
    <xf borderId="0" fillId="0" fontId="9" numFmtId="0" xfId="0" applyAlignment="1" applyFont="1">
      <alignment readingOrder="0" shrinkToFit="0" vertical="top" wrapText="1"/>
    </xf>
    <xf borderId="0" fillId="0" fontId="9" numFmtId="0" xfId="0" applyAlignment="1" applyFont="1">
      <alignment horizontal="center" readingOrder="0" shrinkToFit="0" vertical="center" wrapText="0"/>
    </xf>
    <xf borderId="11" fillId="0" fontId="1" numFmtId="167" xfId="0" applyAlignment="1" applyBorder="1" applyFont="1" applyNumberFormat="1">
      <alignment horizontal="center" readingOrder="0" shrinkToFit="0" vertical="center" wrapText="1"/>
    </xf>
    <xf borderId="11" fillId="0" fontId="1" numFmtId="164" xfId="0" applyAlignment="1" applyBorder="1" applyFont="1" applyNumberFormat="1">
      <alignment horizontal="center" readingOrder="0" shrinkToFit="0" vertical="center" wrapText="1"/>
    </xf>
    <xf borderId="12" fillId="0" fontId="1" numFmtId="164" xfId="0" applyAlignment="1" applyBorder="1" applyFont="1" applyNumberFormat="1">
      <alignment horizontal="center" shrinkToFit="0" vertical="center" wrapText="1"/>
    </xf>
    <xf borderId="0" fillId="0" fontId="1" numFmtId="0" xfId="0" applyFont="1"/>
    <xf borderId="0" fillId="0" fontId="9" numFmtId="0" xfId="0" applyAlignment="1" applyFont="1">
      <alignment readingOrder="0" shrinkToFit="0" vertical="center" wrapText="1"/>
    </xf>
    <xf borderId="0" fillId="0" fontId="11" numFmtId="167" xfId="0" applyAlignment="1" applyFont="1" applyNumberFormat="1">
      <alignment horizontal="center" readingOrder="0" vertical="center"/>
    </xf>
    <xf borderId="0" fillId="0" fontId="12" numFmtId="0" xfId="0" applyAlignment="1" applyFont="1">
      <alignment readingOrder="0" vertical="center"/>
    </xf>
    <xf borderId="0" fillId="0" fontId="1" numFmtId="0" xfId="0" applyAlignment="1" applyFont="1">
      <alignment vertical="center"/>
    </xf>
    <xf borderId="0" fillId="0" fontId="10" numFmtId="0" xfId="0" applyAlignment="1" applyFont="1">
      <alignment vertical="center"/>
    </xf>
    <xf borderId="0" fillId="0" fontId="9" numFmtId="0" xfId="0" applyAlignment="1" applyFont="1">
      <alignment horizontal="center" readingOrder="0" vertical="center"/>
    </xf>
    <xf borderId="0" fillId="0" fontId="12" numFmtId="0" xfId="0" applyFont="1"/>
    <xf borderId="0" fillId="0" fontId="1" numFmtId="0" xfId="0" applyAlignment="1" applyFont="1">
      <alignment vertical="top"/>
    </xf>
    <xf borderId="0" fillId="0" fontId="10" numFmtId="0" xfId="0" applyAlignment="1" applyFont="1">
      <alignment vertical="top"/>
    </xf>
    <xf borderId="13" fillId="0" fontId="9" numFmtId="49" xfId="0" applyAlignment="1" applyBorder="1" applyFont="1" applyNumberFormat="1">
      <alignment horizontal="left" shrinkToFit="0" vertical="center" wrapText="1"/>
    </xf>
    <xf borderId="15" fillId="0" fontId="9" numFmtId="49" xfId="0" applyAlignment="1" applyBorder="1" applyFont="1" applyNumberFormat="1">
      <alignment horizontal="left" readingOrder="0" shrinkToFit="0" vertical="center" wrapText="1"/>
    </xf>
    <xf borderId="11" fillId="0" fontId="1" numFmtId="0" xfId="0" applyAlignment="1" applyBorder="1" applyFont="1">
      <alignment horizontal="center" readingOrder="0" vertical="center"/>
    </xf>
    <xf borderId="0" fillId="0" fontId="1" numFmtId="0" xfId="0" applyAlignment="1" applyFont="1">
      <alignment readingOrder="0" vertical="center"/>
    </xf>
    <xf borderId="0" fillId="0" fontId="0" numFmtId="0" xfId="0" applyAlignment="1" applyFont="1">
      <alignment vertical="center"/>
    </xf>
    <xf borderId="0" fillId="0" fontId="1" numFmtId="0" xfId="0" applyAlignment="1" applyFont="1">
      <alignment vertical="center"/>
    </xf>
    <xf borderId="0" fillId="2" fontId="8" numFmtId="49" xfId="0" applyAlignment="1" applyFont="1" applyNumberFormat="1">
      <alignment horizontal="left" shrinkToFit="0" vertical="top" wrapText="1"/>
    </xf>
    <xf borderId="11" fillId="2" fontId="9" numFmtId="0" xfId="0" applyAlignment="1" applyBorder="1" applyFont="1">
      <alignment horizontal="center" shrinkToFit="0" vertical="center" wrapText="1"/>
    </xf>
    <xf borderId="11" fillId="2" fontId="9" numFmtId="164" xfId="0" applyAlignment="1" applyBorder="1" applyFont="1" applyNumberFormat="1">
      <alignment horizontal="center" shrinkToFit="0" vertical="center" wrapText="1"/>
    </xf>
    <xf borderId="12" fillId="2" fontId="1" numFmtId="164" xfId="0" applyAlignment="1" applyBorder="1" applyFont="1" applyNumberFormat="1">
      <alignment horizontal="center" shrinkToFit="0" vertical="center" wrapText="1"/>
    </xf>
    <xf borderId="16" fillId="0" fontId="13" numFmtId="49" xfId="0" applyAlignment="1" applyBorder="1" applyFont="1" applyNumberFormat="1">
      <alignment horizontal="left" shrinkToFit="0" vertical="center" wrapText="1"/>
    </xf>
    <xf borderId="11" fillId="0" fontId="1" numFmtId="0" xfId="0" applyAlignment="1" applyBorder="1" applyFont="1">
      <alignment horizontal="center" readingOrder="0" shrinkToFit="0" vertical="center" wrapText="1"/>
    </xf>
    <xf borderId="0" fillId="0" fontId="10" numFmtId="0" xfId="0" applyAlignment="1" applyFont="1">
      <alignment readingOrder="0" vertical="center"/>
    </xf>
    <xf borderId="0" fillId="0" fontId="6" numFmtId="0" xfId="0" applyAlignment="1" applyFont="1">
      <alignment vertical="center"/>
    </xf>
    <xf borderId="13" fillId="0" fontId="14" numFmtId="49" xfId="0" applyAlignment="1" applyBorder="1" applyFont="1" applyNumberFormat="1">
      <alignment horizontal="left" shrinkToFit="0" vertical="top" wrapText="1"/>
    </xf>
    <xf borderId="0" fillId="0" fontId="9" numFmtId="0" xfId="0" applyAlignment="1" applyFont="1">
      <alignment readingOrder="0" shrinkToFit="0" vertical="bottom" wrapText="1"/>
    </xf>
    <xf borderId="0" fillId="0" fontId="10" numFmtId="0" xfId="0" applyAlignment="1" applyFont="1">
      <alignment readingOrder="0"/>
    </xf>
    <xf borderId="0" fillId="0" fontId="9" numFmtId="49" xfId="0" applyAlignment="1" applyFont="1" applyNumberFormat="1">
      <alignment readingOrder="0" shrinkToFit="0" wrapText="1"/>
    </xf>
    <xf borderId="0" fillId="0" fontId="11" numFmtId="0" xfId="0" applyAlignment="1" applyFont="1">
      <alignment readingOrder="0"/>
    </xf>
    <xf borderId="0" fillId="0" fontId="1" numFmtId="0" xfId="0" applyFont="1"/>
    <xf borderId="16" fillId="2" fontId="8" numFmtId="49" xfId="0" applyAlignment="1" applyBorder="1" applyFont="1" applyNumberFormat="1">
      <alignment horizontal="left" shrinkToFit="0" vertical="top" wrapText="1"/>
    </xf>
    <xf borderId="0" fillId="2" fontId="15" numFmtId="0" xfId="0" applyAlignment="1" applyFont="1">
      <alignment readingOrder="0"/>
    </xf>
    <xf borderId="11" fillId="2" fontId="3" numFmtId="0" xfId="0" applyAlignment="1" applyBorder="1" applyFont="1">
      <alignment horizontal="center" shrinkToFit="0" vertical="center" wrapText="1"/>
    </xf>
    <xf borderId="11" fillId="2" fontId="1" numFmtId="164" xfId="0" applyAlignment="1" applyBorder="1" applyFont="1" applyNumberFormat="1">
      <alignment horizontal="center" shrinkToFit="0" vertical="center" wrapText="1"/>
    </xf>
    <xf borderId="13" fillId="0" fontId="14" numFmtId="49" xfId="0" applyAlignment="1" applyBorder="1" applyFont="1" applyNumberFormat="1">
      <alignment horizontal="left" shrinkToFit="0" vertical="center" wrapText="1"/>
    </xf>
    <xf borderId="0" fillId="0" fontId="9" numFmtId="49" xfId="0" applyAlignment="1" applyFont="1" applyNumberFormat="1">
      <alignment readingOrder="0" shrinkToFit="0" vertical="center" wrapText="1"/>
    </xf>
    <xf borderId="0" fillId="0" fontId="16" numFmtId="0" xfId="0" applyAlignment="1" applyFont="1">
      <alignment readingOrder="0" vertical="center"/>
    </xf>
    <xf borderId="0" fillId="0" fontId="9" numFmtId="49" xfId="0" applyAlignment="1" applyFont="1" applyNumberFormat="1">
      <alignment readingOrder="0" shrinkToFit="0" vertical="bottom" wrapText="1"/>
    </xf>
    <xf borderId="13" fillId="2" fontId="17" numFmtId="49" xfId="0" applyAlignment="1" applyBorder="1" applyFont="1" applyNumberFormat="1">
      <alignment horizontal="left" shrinkToFit="0" vertical="top" wrapText="1"/>
    </xf>
    <xf borderId="0" fillId="2" fontId="18" numFmtId="49" xfId="0" applyAlignment="1" applyFont="1" applyNumberFormat="1">
      <alignment readingOrder="0"/>
    </xf>
    <xf borderId="11" fillId="2" fontId="15" numFmtId="0" xfId="0" applyAlignment="1" applyBorder="1" applyFont="1">
      <alignment horizontal="center" vertical="center"/>
    </xf>
    <xf borderId="11" fillId="2" fontId="15" numFmtId="165" xfId="0" applyAlignment="1" applyBorder="1" applyFont="1" applyNumberFormat="1">
      <alignment horizontal="center" shrinkToFit="0" vertical="center" wrapText="1"/>
    </xf>
    <xf borderId="11" fillId="2" fontId="15" numFmtId="164" xfId="0" applyAlignment="1" applyBorder="1" applyFont="1" applyNumberFormat="1">
      <alignment horizontal="center" shrinkToFit="0" vertical="center" wrapText="1"/>
    </xf>
    <xf borderId="0" fillId="0" fontId="9" numFmtId="49" xfId="0" applyAlignment="1" applyFont="1" applyNumberFormat="1">
      <alignment readingOrder="0" shrinkToFit="0" vertical="bottom" wrapText="0"/>
    </xf>
    <xf borderId="16" fillId="0" fontId="13" numFmtId="49" xfId="0" applyAlignment="1" applyBorder="1" applyFont="1" applyNumberFormat="1">
      <alignment horizontal="left" shrinkToFit="0" vertical="top" wrapText="1"/>
    </xf>
    <xf borderId="0" fillId="0" fontId="9" numFmtId="0" xfId="0" applyAlignment="1" applyFont="1">
      <alignment readingOrder="0" shrinkToFit="0" vertical="bottom" wrapText="0"/>
    </xf>
    <xf borderId="0" fillId="0" fontId="9" numFmtId="0" xfId="0" applyAlignment="1" applyFont="1">
      <alignment readingOrder="0"/>
    </xf>
    <xf borderId="11" fillId="2" fontId="15" numFmtId="168" xfId="0" applyAlignment="1" applyBorder="1" applyFont="1" applyNumberFormat="1">
      <alignment horizontal="center" shrinkToFit="0" vertical="center" wrapText="1"/>
    </xf>
    <xf borderId="17" fillId="0" fontId="1" numFmtId="167" xfId="0" applyAlignment="1" applyBorder="1" applyFont="1" applyNumberFormat="1">
      <alignment horizontal="center" readingOrder="0" shrinkToFit="0" vertical="center" wrapText="1"/>
    </xf>
    <xf borderId="17" fillId="0" fontId="1" numFmtId="164" xfId="0" applyAlignment="1" applyBorder="1" applyFont="1" applyNumberFormat="1">
      <alignment horizontal="center" readingOrder="0" shrinkToFit="0" vertical="center" wrapText="1"/>
    </xf>
    <xf borderId="18" fillId="0" fontId="9" numFmtId="49" xfId="0" applyAlignment="1" applyBorder="1" applyFont="1" applyNumberFormat="1">
      <alignment horizontal="left" readingOrder="0" shrinkToFit="0" vertical="top" wrapText="1"/>
    </xf>
    <xf borderId="0" fillId="0" fontId="13" numFmtId="49" xfId="0" applyAlignment="1" applyFont="1" applyNumberFormat="1">
      <alignment horizontal="left" shrinkToFit="0" vertical="top" wrapText="1"/>
    </xf>
    <xf borderId="0" fillId="0" fontId="9" numFmtId="49" xfId="0" applyAlignment="1" applyFont="1" applyNumberFormat="1">
      <alignment horizontal="left" readingOrder="0" shrinkToFit="0" vertical="top" wrapText="1"/>
    </xf>
    <xf borderId="14" fillId="0" fontId="1" numFmtId="0" xfId="0" applyAlignment="1" applyBorder="1" applyFont="1">
      <alignment horizontal="center" readingOrder="0" shrinkToFit="0" vertical="center" wrapText="1"/>
    </xf>
    <xf borderId="14" fillId="0" fontId="1" numFmtId="164" xfId="0" applyAlignment="1" applyBorder="1" applyFont="1" applyNumberFormat="1">
      <alignment horizontal="center" readingOrder="0" shrinkToFit="0" vertical="center" wrapText="1"/>
    </xf>
    <xf borderId="0" fillId="2" fontId="13" numFmtId="49" xfId="0" applyAlignment="1" applyFont="1" applyNumberFormat="1">
      <alignment horizontal="left" shrinkToFit="0" vertical="top" wrapText="1"/>
    </xf>
    <xf borderId="0" fillId="2" fontId="13" numFmtId="49" xfId="0" applyAlignment="1" applyFont="1" applyNumberFormat="1">
      <alignment horizontal="left" readingOrder="0" shrinkToFit="0" vertical="top" wrapText="1"/>
    </xf>
    <xf borderId="14" fillId="2" fontId="1" numFmtId="0" xfId="0" applyAlignment="1" applyBorder="1" applyFont="1">
      <alignment horizontal="center" readingOrder="0" shrinkToFit="0" vertical="center" wrapText="1"/>
    </xf>
    <xf borderId="14" fillId="2" fontId="1" numFmtId="164" xfId="0" applyAlignment="1" applyBorder="1" applyFont="1" applyNumberFormat="1">
      <alignment horizontal="center" readingOrder="0" shrinkToFit="0" vertical="center" wrapText="1"/>
    </xf>
    <xf borderId="19" fillId="2" fontId="1" numFmtId="164" xfId="0" applyAlignment="1" applyBorder="1" applyFont="1" applyNumberFormat="1">
      <alignment horizontal="center" readingOrder="0" shrinkToFit="0" vertical="center" wrapText="1"/>
    </xf>
    <xf borderId="20" fillId="0" fontId="1" numFmtId="49" xfId="0" applyAlignment="1" applyBorder="1" applyFont="1" applyNumberFormat="1">
      <alignment horizontal="left" shrinkToFit="0" vertical="top" wrapText="1"/>
    </xf>
    <xf borderId="20" fillId="0" fontId="1" numFmtId="0" xfId="0" applyAlignment="1" applyBorder="1" applyFont="1">
      <alignment horizontal="left" shrinkToFit="0" vertical="top" wrapText="1"/>
    </xf>
    <xf borderId="20" fillId="0" fontId="1" numFmtId="0" xfId="0" applyAlignment="1" applyBorder="1" applyFont="1">
      <alignment horizontal="center" shrinkToFit="0" vertical="top" wrapText="1"/>
    </xf>
    <xf borderId="20" fillId="0" fontId="1" numFmtId="164" xfId="0" applyAlignment="1" applyBorder="1" applyFont="1" applyNumberFormat="1">
      <alignment horizontal="center" shrinkToFit="0" vertical="top" wrapText="1"/>
    </xf>
    <xf borderId="0" fillId="0" fontId="6" numFmtId="49" xfId="0" applyFont="1" applyNumberFormat="1"/>
    <xf borderId="0" fillId="0" fontId="3" numFmtId="0" xfId="0" applyAlignment="1" applyFont="1">
      <alignment horizontal="left" shrinkToFit="0" vertical="top" wrapText="1"/>
    </xf>
    <xf borderId="0" fillId="0" fontId="6" numFmtId="0" xfId="0" applyAlignment="1" applyFont="1">
      <alignment horizontal="center"/>
    </xf>
    <xf borderId="0" fillId="0" fontId="6" numFmtId="164" xfId="0" applyAlignment="1" applyFont="1" applyNumberFormat="1">
      <alignment horizontal="center"/>
    </xf>
    <xf borderId="0" fillId="0" fontId="3" numFmtId="166" xfId="0" applyAlignment="1" applyFont="1" applyNumberFormat="1">
      <alignment horizontal="right" shrinkToFit="0" vertical="top" wrapText="1"/>
    </xf>
    <xf borderId="0" fillId="0" fontId="3" numFmtId="10" xfId="0" applyAlignment="1" applyFont="1" applyNumberFormat="1">
      <alignment horizontal="right" shrinkToFit="0" vertical="top" wrapText="1"/>
    </xf>
    <xf borderId="0" fillId="0" fontId="16" numFmtId="0" xfId="0" applyFont="1"/>
    <xf borderId="0" fillId="0" fontId="19" numFmtId="0" xfId="0" applyAlignment="1" applyFont="1">
      <alignment horizontal="center"/>
    </xf>
    <xf borderId="0" fillId="0" fontId="19" numFmtId="169" xfId="0" applyAlignment="1" applyFont="1" applyNumberFormat="1">
      <alignment horizontal="center"/>
    </xf>
    <xf borderId="0" fillId="0" fontId="20" numFmtId="169"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485775</xdr:colOff>
      <xdr:row>0</xdr:row>
      <xdr:rowOff>0</xdr:rowOff>
    </xdr:from>
    <xdr:ext cx="6010275" cy="1009650"/>
    <xdr:sp>
      <xdr:nvSpPr>
        <xdr:cNvPr id="3" name="Shape 3"/>
        <xdr:cNvSpPr/>
      </xdr:nvSpPr>
      <xdr:spPr>
        <a:xfrm>
          <a:off x="2350388" y="3284700"/>
          <a:ext cx="5991225" cy="990600"/>
        </a:xfrm>
        <a:prstGeom prst="roundRect">
          <a:avLst>
            <a:gd fmla="val 6670" name="adj"/>
          </a:avLst>
        </a:prstGeom>
        <a:gradFill>
          <a:gsLst>
            <a:gs pos="0">
              <a:srgbClr val="FFFFFF"/>
            </a:gs>
            <a:gs pos="100000">
              <a:srgbClr val="B3B3B3"/>
            </a:gs>
          </a:gsLst>
          <a:lin ang="5400012" scaled="0"/>
        </a:gradFill>
        <a:ln cap="flat" cmpd="sng" w="12700">
          <a:solidFill>
            <a:srgbClr val="000000"/>
          </a:solidFill>
          <a:prstDash val="solid"/>
          <a:miter lim="800000"/>
          <a:headEnd len="sm" w="sm" type="none"/>
          <a:tailEnd len="sm" w="sm" type="none"/>
        </a:ln>
      </xdr:spPr>
      <xdr:txBody>
        <a:bodyPr anchorCtr="0" anchor="ctr" bIns="0" lIns="0" spcFirstLastPara="1" rIns="0" wrap="square" tIns="0">
          <a:noAutofit/>
        </a:bodyPr>
        <a:lstStyle/>
        <a:p>
          <a:pPr indent="0" lvl="0" marL="0" rtl="0" algn="ctr">
            <a:spcBef>
              <a:spcPts val="0"/>
            </a:spcBef>
            <a:spcAft>
              <a:spcPts val="0"/>
            </a:spcAft>
            <a:buSzPts val="1600"/>
            <a:buFont typeface="Arial"/>
            <a:buNone/>
          </a:pPr>
          <a:r>
            <a:t/>
          </a:r>
          <a:endParaRPr i="1" sz="1600">
            <a:latin typeface="Calibri"/>
            <a:ea typeface="Calibri"/>
            <a:cs typeface="Calibri"/>
            <a:sym typeface="Calibri"/>
          </a:endParaRPr>
        </a:p>
        <a:p>
          <a:pPr indent="0" lvl="0" marL="0" rtl="0" algn="ctr">
            <a:spcBef>
              <a:spcPts val="0"/>
            </a:spcBef>
            <a:spcAft>
              <a:spcPts val="0"/>
            </a:spcAft>
            <a:buClr>
              <a:srgbClr val="000000"/>
            </a:buClr>
            <a:buSzPts val="1600"/>
            <a:buFont typeface="Calibri"/>
            <a:buNone/>
          </a:pPr>
          <a:r>
            <a:rPr b="0" i="1" lang="en-US" sz="1600">
              <a:solidFill>
                <a:srgbClr val="000000"/>
              </a:solidFill>
              <a:latin typeface="Calibri"/>
              <a:ea typeface="Calibri"/>
              <a:cs typeface="Calibri"/>
              <a:sym typeface="Calibri"/>
            </a:rPr>
            <a:t>D.P.G.F</a:t>
          </a:r>
          <a:endParaRPr sz="1400"/>
        </a:p>
        <a:p>
          <a:pPr indent="0" lvl="0" marL="0" rtl="0" algn="ctr">
            <a:spcBef>
              <a:spcPts val="0"/>
            </a:spcBef>
            <a:spcAft>
              <a:spcPts val="0"/>
            </a:spcAft>
            <a:buSzPts val="1600"/>
            <a:buFont typeface="Calibri"/>
            <a:buNone/>
          </a:pPr>
          <a:r>
            <a:rPr i="1" lang="en-US" sz="1600">
              <a:latin typeface="Calibri"/>
              <a:ea typeface="Calibri"/>
              <a:cs typeface="Calibri"/>
              <a:sym typeface="Calibri"/>
            </a:rPr>
            <a:t>LOT N°04 – </a:t>
          </a:r>
          <a:r>
            <a:rPr i="1" lang="en-US" sz="1600">
              <a:latin typeface="Calibri"/>
              <a:ea typeface="Calibri"/>
              <a:cs typeface="Calibri"/>
              <a:sym typeface="Calibri"/>
            </a:rPr>
            <a:t>PLÂTRERIE / DOUBLAGES / FAUX PLAFONDS </a:t>
          </a:r>
          <a:endParaRPr i="1" sz="1600">
            <a:latin typeface="Calibri"/>
            <a:ea typeface="Calibri"/>
            <a:cs typeface="Calibri"/>
            <a:sym typeface="Calibri"/>
          </a:endParaRPr>
        </a:p>
        <a:p>
          <a:pPr indent="0" lvl="0" marL="0" rtl="0" algn="l">
            <a:spcBef>
              <a:spcPts val="0"/>
            </a:spcBef>
            <a:spcAft>
              <a:spcPts val="0"/>
            </a:spcAft>
            <a:buSzPts val="1600"/>
            <a:buFont typeface="Arial"/>
            <a:buNone/>
          </a:pPr>
          <a:r>
            <a:t/>
          </a:r>
          <a:endParaRPr i="1" sz="1600">
            <a:latin typeface="Calibri"/>
            <a:ea typeface="Calibri"/>
            <a:cs typeface="Calibri"/>
            <a:sym typeface="Calibri"/>
          </a:endParaRPr>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9.71"/>
    <col customWidth="1" min="2" max="2" width="68.86"/>
    <col customWidth="1" min="3" max="3" width="7.71"/>
    <col customWidth="1" min="4" max="4" width="13.0"/>
    <col customWidth="1" min="5" max="5" width="10.71"/>
    <col customWidth="1" min="6" max="6" width="12.71"/>
    <col customWidth="1" min="7" max="701" width="10.71"/>
  </cols>
  <sheetData>
    <row r="1" ht="82.5" customHeight="1">
      <c r="A1" s="1"/>
      <c r="B1" s="2"/>
      <c r="C1" s="2"/>
      <c r="D1" s="2"/>
      <c r="E1" s="2"/>
      <c r="F1" s="3"/>
    </row>
    <row r="2">
      <c r="A2" s="1"/>
      <c r="B2" s="4" t="s">
        <v>0</v>
      </c>
      <c r="C2" s="5" t="s">
        <v>1</v>
      </c>
      <c r="D2" s="5" t="s">
        <v>2</v>
      </c>
      <c r="E2" s="6" t="s">
        <v>3</v>
      </c>
      <c r="F2" s="7" t="s">
        <v>4</v>
      </c>
    </row>
    <row r="3">
      <c r="A3" s="8"/>
      <c r="B3" s="9"/>
      <c r="C3" s="10"/>
      <c r="D3" s="10"/>
      <c r="E3" s="11"/>
      <c r="F3" s="12"/>
    </row>
    <row r="4">
      <c r="A4" s="13"/>
      <c r="B4" s="14" t="s">
        <v>5</v>
      </c>
      <c r="C4" s="15"/>
      <c r="D4" s="15"/>
      <c r="E4" s="16"/>
      <c r="F4" s="17"/>
      <c r="ZX4" s="18" t="s">
        <v>6</v>
      </c>
      <c r="ZY4" s="19"/>
    </row>
    <row r="5">
      <c r="A5" s="20"/>
      <c r="B5" s="21" t="s">
        <v>7</v>
      </c>
      <c r="C5" s="22"/>
      <c r="D5" s="23"/>
      <c r="E5" s="24"/>
      <c r="F5" s="25"/>
      <c r="ZY5" s="19"/>
    </row>
    <row r="6" ht="42.75" customHeight="1">
      <c r="A6" s="26"/>
      <c r="B6" s="27" t="s">
        <v>8</v>
      </c>
      <c r="C6" s="28" t="s">
        <v>9</v>
      </c>
      <c r="D6" s="29">
        <v>4000.0</v>
      </c>
      <c r="E6" s="30">
        <v>35.0</v>
      </c>
      <c r="F6" s="31">
        <f>ROUND(D6*E6,0)</f>
        <v>140000</v>
      </c>
      <c r="G6" s="32" t="s">
        <v>10</v>
      </c>
      <c r="H6" s="33"/>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c r="CK6" s="34"/>
      <c r="CL6" s="34"/>
      <c r="CM6" s="34"/>
      <c r="CN6" s="34"/>
      <c r="CO6" s="34"/>
      <c r="CP6" s="34"/>
      <c r="CQ6" s="34"/>
      <c r="CR6" s="34"/>
      <c r="CS6" s="34"/>
      <c r="CT6" s="34"/>
      <c r="CU6" s="34"/>
      <c r="CV6" s="34"/>
      <c r="CW6" s="34"/>
      <c r="CX6" s="34"/>
      <c r="CY6" s="34"/>
      <c r="CZ6" s="34"/>
      <c r="DA6" s="34"/>
      <c r="DB6" s="34"/>
      <c r="DC6" s="34"/>
      <c r="DD6" s="34"/>
      <c r="DE6" s="34"/>
      <c r="DF6" s="34"/>
      <c r="DG6" s="34"/>
      <c r="DH6" s="34"/>
      <c r="DI6" s="34"/>
      <c r="DJ6" s="34"/>
      <c r="DK6" s="34"/>
      <c r="DL6" s="34"/>
      <c r="DM6" s="34"/>
      <c r="DN6" s="34"/>
      <c r="DO6" s="34"/>
      <c r="DP6" s="34"/>
      <c r="DQ6" s="34"/>
      <c r="DR6" s="34"/>
      <c r="DS6" s="34"/>
      <c r="DT6" s="34"/>
      <c r="DU6" s="34"/>
      <c r="DV6" s="34"/>
      <c r="DW6" s="34"/>
      <c r="DX6" s="34"/>
      <c r="DY6" s="34"/>
      <c r="DZ6" s="34"/>
      <c r="EA6" s="34"/>
      <c r="EB6" s="34"/>
      <c r="EC6" s="34"/>
      <c r="ED6" s="34"/>
      <c r="EE6" s="34"/>
      <c r="EF6" s="34"/>
      <c r="EG6" s="34"/>
      <c r="EH6" s="34"/>
      <c r="EI6" s="34"/>
      <c r="EJ6" s="34"/>
      <c r="EK6" s="34"/>
      <c r="EL6" s="34"/>
      <c r="EM6" s="34"/>
      <c r="EN6" s="34"/>
      <c r="EO6" s="34"/>
      <c r="EP6" s="34"/>
      <c r="EQ6" s="34"/>
      <c r="ER6" s="34"/>
      <c r="ES6" s="34"/>
      <c r="ET6" s="34"/>
      <c r="EU6" s="34"/>
      <c r="EV6" s="34"/>
      <c r="EW6" s="34"/>
      <c r="EX6" s="34"/>
      <c r="EY6" s="34"/>
      <c r="EZ6" s="34"/>
      <c r="FA6" s="34"/>
      <c r="FB6" s="34"/>
      <c r="FC6" s="34"/>
      <c r="FD6" s="34"/>
      <c r="FE6" s="34"/>
      <c r="FF6" s="34"/>
      <c r="FG6" s="34"/>
      <c r="FH6" s="34"/>
      <c r="FI6" s="34"/>
      <c r="FJ6" s="34"/>
      <c r="FK6" s="34"/>
      <c r="FL6" s="34"/>
      <c r="FM6" s="34"/>
      <c r="FN6" s="34"/>
      <c r="FO6" s="34"/>
      <c r="FP6" s="34"/>
      <c r="FQ6" s="34"/>
      <c r="FR6" s="34"/>
      <c r="FS6" s="34"/>
      <c r="FT6" s="34"/>
      <c r="FU6" s="34"/>
      <c r="FV6" s="34"/>
      <c r="FW6" s="34"/>
      <c r="FX6" s="34"/>
      <c r="FY6" s="34"/>
      <c r="FZ6" s="34"/>
      <c r="GA6" s="34"/>
      <c r="GB6" s="34"/>
      <c r="GC6" s="34"/>
      <c r="GD6" s="34"/>
      <c r="GE6" s="34"/>
      <c r="GF6" s="34"/>
      <c r="GG6" s="34"/>
      <c r="GH6" s="34"/>
      <c r="GI6" s="34"/>
      <c r="GJ6" s="34"/>
      <c r="GK6" s="34"/>
      <c r="GL6" s="34"/>
      <c r="GM6" s="34"/>
      <c r="GN6" s="34"/>
      <c r="GO6" s="34"/>
      <c r="GP6" s="34"/>
      <c r="GQ6" s="34"/>
      <c r="GR6" s="34"/>
      <c r="GS6" s="34"/>
      <c r="GT6" s="34"/>
      <c r="GU6" s="34"/>
      <c r="GV6" s="34"/>
      <c r="GW6" s="34"/>
      <c r="GX6" s="34"/>
      <c r="GY6" s="34"/>
      <c r="GZ6" s="34"/>
      <c r="HA6" s="34"/>
      <c r="HB6" s="34"/>
      <c r="HC6" s="34"/>
      <c r="HD6" s="34"/>
      <c r="HE6" s="34"/>
      <c r="HF6" s="34"/>
      <c r="HG6" s="34"/>
      <c r="HH6" s="34"/>
      <c r="HI6" s="34"/>
      <c r="HJ6" s="34"/>
      <c r="HK6" s="34"/>
      <c r="HL6" s="34"/>
      <c r="HM6" s="34"/>
      <c r="HN6" s="34"/>
      <c r="HO6" s="34"/>
      <c r="HP6" s="34"/>
      <c r="HQ6" s="34"/>
      <c r="HR6" s="34"/>
      <c r="HS6" s="34"/>
      <c r="HT6" s="34"/>
      <c r="HU6" s="34"/>
      <c r="HV6" s="34"/>
      <c r="HW6" s="34"/>
      <c r="HX6" s="34"/>
      <c r="HY6" s="34"/>
      <c r="HZ6" s="34"/>
      <c r="IA6" s="34"/>
      <c r="IB6" s="34"/>
      <c r="IC6" s="34"/>
      <c r="ID6" s="34"/>
      <c r="IE6" s="34"/>
      <c r="IF6" s="34"/>
      <c r="IG6" s="34"/>
      <c r="IH6" s="34"/>
      <c r="II6" s="34"/>
      <c r="IJ6" s="34"/>
      <c r="IK6" s="34"/>
      <c r="IL6" s="34"/>
      <c r="IM6" s="34"/>
      <c r="IN6" s="34"/>
      <c r="IO6" s="34"/>
      <c r="IP6" s="34"/>
      <c r="IQ6" s="34"/>
      <c r="IR6" s="34"/>
      <c r="IS6" s="34"/>
      <c r="IT6" s="34"/>
      <c r="IU6" s="34"/>
      <c r="IV6" s="34"/>
      <c r="IW6" s="34"/>
      <c r="IX6" s="34"/>
      <c r="IY6" s="34"/>
      <c r="IZ6" s="34"/>
      <c r="JA6" s="34"/>
      <c r="JB6" s="34"/>
      <c r="JC6" s="34"/>
      <c r="JD6" s="34"/>
      <c r="JE6" s="34"/>
      <c r="JF6" s="34"/>
      <c r="JG6" s="34"/>
      <c r="JH6" s="34"/>
      <c r="JI6" s="34"/>
      <c r="JJ6" s="34"/>
      <c r="JK6" s="34"/>
      <c r="JL6" s="34"/>
      <c r="JM6" s="34"/>
      <c r="JN6" s="34"/>
      <c r="JO6" s="34"/>
      <c r="JP6" s="34"/>
      <c r="JQ6" s="34"/>
      <c r="JR6" s="34"/>
      <c r="JS6" s="34"/>
      <c r="JT6" s="34"/>
      <c r="JU6" s="34"/>
      <c r="JV6" s="34"/>
      <c r="JW6" s="34"/>
      <c r="JX6" s="34"/>
      <c r="JY6" s="34"/>
      <c r="JZ6" s="34"/>
      <c r="KA6" s="34"/>
      <c r="KB6" s="34"/>
      <c r="KC6" s="34"/>
      <c r="KD6" s="34"/>
      <c r="KE6" s="34"/>
      <c r="KF6" s="34"/>
      <c r="KG6" s="34"/>
      <c r="KH6" s="34"/>
      <c r="KI6" s="34"/>
      <c r="KJ6" s="34"/>
      <c r="KK6" s="34"/>
      <c r="KL6" s="34"/>
      <c r="KM6" s="34"/>
      <c r="KN6" s="34"/>
      <c r="KO6" s="34"/>
      <c r="KP6" s="34"/>
      <c r="KQ6" s="34"/>
      <c r="KR6" s="34"/>
      <c r="KS6" s="34"/>
      <c r="KT6" s="34"/>
      <c r="KU6" s="34"/>
      <c r="KV6" s="34"/>
      <c r="KW6" s="34"/>
      <c r="KX6" s="34"/>
      <c r="KY6" s="34"/>
      <c r="KZ6" s="34"/>
      <c r="LA6" s="34"/>
      <c r="LB6" s="34"/>
      <c r="LC6" s="34"/>
      <c r="LD6" s="34"/>
      <c r="LE6" s="34"/>
      <c r="LF6" s="34"/>
      <c r="LG6" s="34"/>
      <c r="LH6" s="34"/>
      <c r="LI6" s="34"/>
      <c r="LJ6" s="34"/>
      <c r="LK6" s="34"/>
      <c r="LL6" s="34"/>
      <c r="LM6" s="34"/>
      <c r="LN6" s="34"/>
      <c r="LO6" s="34"/>
      <c r="LP6" s="34"/>
      <c r="LQ6" s="34"/>
      <c r="LR6" s="34"/>
      <c r="LS6" s="34"/>
      <c r="LT6" s="34"/>
      <c r="LU6" s="34"/>
      <c r="LV6" s="34"/>
      <c r="LW6" s="34"/>
      <c r="LX6" s="34"/>
      <c r="LY6" s="34"/>
      <c r="LZ6" s="34"/>
      <c r="MA6" s="34"/>
      <c r="MB6" s="34"/>
      <c r="MC6" s="34"/>
      <c r="MD6" s="34"/>
      <c r="ME6" s="34"/>
      <c r="MF6" s="34"/>
      <c r="MG6" s="34"/>
      <c r="MH6" s="34"/>
      <c r="MI6" s="34"/>
      <c r="MJ6" s="34"/>
      <c r="MK6" s="34"/>
      <c r="ML6" s="34"/>
      <c r="MM6" s="34"/>
      <c r="MN6" s="34"/>
      <c r="MO6" s="34"/>
      <c r="MP6" s="34"/>
      <c r="MQ6" s="34"/>
      <c r="MR6" s="34"/>
      <c r="MS6" s="34"/>
      <c r="MT6" s="34"/>
      <c r="MU6" s="34"/>
      <c r="MV6" s="34"/>
      <c r="MW6" s="34"/>
      <c r="MX6" s="34"/>
      <c r="MY6" s="34"/>
      <c r="MZ6" s="34"/>
      <c r="NA6" s="34"/>
      <c r="NB6" s="34"/>
      <c r="NC6" s="34"/>
      <c r="ND6" s="34"/>
      <c r="NE6" s="34"/>
      <c r="NF6" s="34"/>
      <c r="NG6" s="34"/>
      <c r="NH6" s="34"/>
      <c r="NI6" s="34"/>
      <c r="NJ6" s="34"/>
      <c r="NK6" s="34"/>
      <c r="NL6" s="34"/>
      <c r="NM6" s="34"/>
      <c r="NN6" s="34"/>
      <c r="NO6" s="34"/>
      <c r="NP6" s="34"/>
      <c r="NQ6" s="34"/>
      <c r="NR6" s="34"/>
      <c r="NS6" s="34"/>
      <c r="NT6" s="34"/>
      <c r="NU6" s="34"/>
      <c r="NV6" s="34"/>
      <c r="NW6" s="34"/>
      <c r="NX6" s="34"/>
      <c r="NY6" s="34"/>
      <c r="NZ6" s="34"/>
      <c r="OA6" s="34"/>
      <c r="OB6" s="34"/>
      <c r="OC6" s="34"/>
      <c r="OD6" s="34"/>
      <c r="OE6" s="34"/>
      <c r="OF6" s="34"/>
      <c r="OG6" s="34"/>
      <c r="OH6" s="34"/>
      <c r="OI6" s="34"/>
      <c r="OJ6" s="34"/>
      <c r="OK6" s="34"/>
      <c r="OL6" s="34"/>
      <c r="OM6" s="34"/>
      <c r="ON6" s="34"/>
      <c r="OO6" s="34"/>
      <c r="OP6" s="34"/>
      <c r="OQ6" s="34"/>
      <c r="OR6" s="34"/>
      <c r="OS6" s="34"/>
      <c r="OT6" s="34"/>
      <c r="OU6" s="34"/>
      <c r="OV6" s="34"/>
      <c r="OW6" s="34"/>
      <c r="OX6" s="34"/>
      <c r="OY6" s="34"/>
      <c r="OZ6" s="34"/>
      <c r="PA6" s="34"/>
      <c r="PB6" s="34"/>
      <c r="PC6" s="34"/>
      <c r="PD6" s="34"/>
      <c r="PE6" s="34"/>
      <c r="PF6" s="34"/>
      <c r="PG6" s="34"/>
      <c r="PH6" s="34"/>
      <c r="PI6" s="34"/>
      <c r="PJ6" s="34"/>
      <c r="PK6" s="34"/>
      <c r="PL6" s="34"/>
      <c r="PM6" s="34"/>
      <c r="PN6" s="34"/>
      <c r="PO6" s="34"/>
      <c r="PP6" s="34"/>
      <c r="PQ6" s="34"/>
      <c r="PR6" s="34"/>
      <c r="PS6" s="34"/>
      <c r="PT6" s="34"/>
      <c r="PU6" s="34"/>
      <c r="PV6" s="34"/>
      <c r="PW6" s="34"/>
      <c r="PX6" s="34"/>
      <c r="PY6" s="34"/>
      <c r="PZ6" s="34"/>
      <c r="QA6" s="34"/>
      <c r="QB6" s="34"/>
      <c r="QC6" s="34"/>
      <c r="QD6" s="34"/>
      <c r="QE6" s="34"/>
      <c r="QF6" s="34"/>
      <c r="QG6" s="34"/>
      <c r="QH6" s="34"/>
      <c r="QI6" s="34"/>
      <c r="QJ6" s="34"/>
      <c r="QK6" s="34"/>
      <c r="QL6" s="34"/>
      <c r="QM6" s="34"/>
      <c r="QN6" s="34"/>
      <c r="QO6" s="34"/>
      <c r="QP6" s="34"/>
      <c r="QQ6" s="34"/>
      <c r="QR6" s="34"/>
      <c r="QS6" s="34"/>
      <c r="QT6" s="34"/>
      <c r="QU6" s="34"/>
      <c r="QV6" s="34"/>
      <c r="QW6" s="34"/>
      <c r="QX6" s="34"/>
      <c r="QY6" s="34"/>
      <c r="QZ6" s="34"/>
      <c r="RA6" s="34"/>
      <c r="RB6" s="34"/>
      <c r="RC6" s="34"/>
      <c r="RD6" s="34"/>
      <c r="RE6" s="34"/>
      <c r="RF6" s="34"/>
      <c r="RG6" s="34"/>
      <c r="RH6" s="34"/>
      <c r="RI6" s="34"/>
      <c r="RJ6" s="34"/>
      <c r="RK6" s="34"/>
      <c r="RL6" s="34"/>
      <c r="RM6" s="34"/>
      <c r="RN6" s="34"/>
      <c r="RO6" s="34"/>
      <c r="RP6" s="34"/>
      <c r="RQ6" s="34"/>
      <c r="RR6" s="34"/>
      <c r="RS6" s="34"/>
      <c r="RT6" s="34"/>
      <c r="RU6" s="34"/>
      <c r="RV6" s="34"/>
      <c r="RW6" s="34"/>
      <c r="RX6" s="34"/>
      <c r="RY6" s="34"/>
      <c r="RZ6" s="34"/>
      <c r="SA6" s="34"/>
      <c r="SB6" s="34"/>
      <c r="SC6" s="34"/>
      <c r="SD6" s="34"/>
      <c r="SE6" s="34"/>
      <c r="SF6" s="34"/>
      <c r="SG6" s="34"/>
      <c r="SH6" s="34"/>
      <c r="SI6" s="34"/>
      <c r="SJ6" s="34"/>
      <c r="SK6" s="34"/>
      <c r="SL6" s="34"/>
      <c r="SM6" s="34"/>
      <c r="SN6" s="34"/>
      <c r="SO6" s="34"/>
      <c r="SP6" s="34"/>
      <c r="SQ6" s="34"/>
      <c r="SR6" s="34"/>
      <c r="SS6" s="34"/>
      <c r="ST6" s="34"/>
      <c r="SU6" s="34"/>
      <c r="SV6" s="34"/>
      <c r="SW6" s="34"/>
      <c r="SX6" s="34"/>
      <c r="SY6" s="34"/>
      <c r="SZ6" s="34"/>
      <c r="TA6" s="34"/>
      <c r="TB6" s="34"/>
      <c r="TC6" s="34"/>
      <c r="TD6" s="34"/>
      <c r="TE6" s="34"/>
      <c r="TF6" s="34"/>
      <c r="TG6" s="34"/>
      <c r="TH6" s="34"/>
      <c r="TI6" s="34"/>
      <c r="TJ6" s="34"/>
      <c r="TK6" s="34"/>
      <c r="TL6" s="34"/>
      <c r="TM6" s="34"/>
      <c r="TN6" s="34"/>
      <c r="TO6" s="34"/>
      <c r="TP6" s="34"/>
      <c r="TQ6" s="34"/>
      <c r="TR6" s="34"/>
      <c r="TS6" s="34"/>
      <c r="TT6" s="34"/>
      <c r="TU6" s="34"/>
      <c r="TV6" s="34"/>
      <c r="TW6" s="34"/>
      <c r="TX6" s="34"/>
      <c r="TY6" s="34"/>
      <c r="TZ6" s="34"/>
      <c r="UA6" s="34"/>
      <c r="UB6" s="34"/>
      <c r="UC6" s="34"/>
      <c r="UD6" s="34"/>
      <c r="UE6" s="34"/>
      <c r="UF6" s="34"/>
      <c r="UG6" s="34"/>
      <c r="UH6" s="34"/>
      <c r="UI6" s="34"/>
      <c r="UJ6" s="34"/>
      <c r="UK6" s="34"/>
      <c r="UL6" s="34"/>
      <c r="UM6" s="34"/>
      <c r="UN6" s="34"/>
      <c r="UO6" s="34"/>
      <c r="UP6" s="34"/>
      <c r="UQ6" s="34"/>
      <c r="UR6" s="34"/>
      <c r="US6" s="34"/>
      <c r="UT6" s="34"/>
      <c r="UU6" s="34"/>
      <c r="UV6" s="34"/>
      <c r="UW6" s="34"/>
      <c r="UX6" s="34"/>
      <c r="UY6" s="34"/>
      <c r="UZ6" s="34"/>
      <c r="VA6" s="34"/>
      <c r="VB6" s="34"/>
      <c r="VC6" s="34"/>
      <c r="VD6" s="34"/>
      <c r="VE6" s="34"/>
      <c r="VF6" s="34"/>
      <c r="VG6" s="34"/>
      <c r="VH6" s="34"/>
      <c r="VI6" s="34"/>
      <c r="VJ6" s="34"/>
      <c r="VK6" s="34"/>
      <c r="VL6" s="34"/>
      <c r="VM6" s="34"/>
      <c r="VN6" s="34"/>
      <c r="VO6" s="34"/>
      <c r="VP6" s="34"/>
      <c r="VQ6" s="34"/>
      <c r="VR6" s="34"/>
      <c r="VS6" s="34"/>
      <c r="VT6" s="34"/>
      <c r="VU6" s="34"/>
      <c r="VV6" s="34"/>
      <c r="VW6" s="34"/>
      <c r="VX6" s="34"/>
      <c r="VY6" s="34"/>
      <c r="VZ6" s="34"/>
      <c r="WA6" s="34"/>
      <c r="WB6" s="34"/>
      <c r="WC6" s="34"/>
      <c r="WD6" s="34"/>
      <c r="WE6" s="34"/>
      <c r="WF6" s="34"/>
      <c r="WG6" s="34"/>
      <c r="WH6" s="34"/>
      <c r="WI6" s="34"/>
      <c r="WJ6" s="34"/>
      <c r="WK6" s="34"/>
      <c r="WL6" s="34"/>
      <c r="WM6" s="34"/>
      <c r="WN6" s="34"/>
      <c r="WO6" s="34"/>
      <c r="WP6" s="34"/>
      <c r="WQ6" s="34"/>
      <c r="WR6" s="34"/>
      <c r="WS6" s="34"/>
      <c r="WT6" s="34"/>
      <c r="WU6" s="34"/>
      <c r="WV6" s="34"/>
      <c r="WW6" s="34"/>
      <c r="WX6" s="34"/>
      <c r="WY6" s="34"/>
      <c r="WZ6" s="34"/>
      <c r="XA6" s="34"/>
      <c r="XB6" s="34"/>
      <c r="XC6" s="34"/>
      <c r="XD6" s="34"/>
      <c r="XE6" s="34"/>
      <c r="XF6" s="34"/>
      <c r="XG6" s="34"/>
      <c r="XH6" s="34"/>
      <c r="XI6" s="34"/>
      <c r="XJ6" s="34"/>
      <c r="XK6" s="34"/>
      <c r="XL6" s="34"/>
      <c r="XM6" s="34"/>
      <c r="XN6" s="34"/>
      <c r="XO6" s="34"/>
      <c r="XP6" s="34"/>
      <c r="XQ6" s="34"/>
      <c r="XR6" s="34"/>
      <c r="XS6" s="34"/>
      <c r="XT6" s="34"/>
      <c r="XU6" s="34"/>
      <c r="XV6" s="34"/>
      <c r="XW6" s="34"/>
      <c r="XX6" s="34"/>
      <c r="XY6" s="34"/>
      <c r="XZ6" s="34"/>
      <c r="YA6" s="34"/>
      <c r="YB6" s="34"/>
      <c r="YC6" s="34"/>
      <c r="YD6" s="34"/>
      <c r="YE6" s="34"/>
      <c r="YF6" s="34"/>
      <c r="YG6" s="34"/>
      <c r="YH6" s="34"/>
      <c r="YI6" s="34"/>
      <c r="YJ6" s="34"/>
      <c r="YK6" s="34"/>
      <c r="YL6" s="34"/>
      <c r="YM6" s="34"/>
      <c r="YN6" s="34"/>
      <c r="YO6" s="34"/>
      <c r="YP6" s="34"/>
      <c r="YQ6" s="34"/>
      <c r="YR6" s="34"/>
      <c r="YS6" s="34"/>
      <c r="YT6" s="34"/>
      <c r="YU6" s="34"/>
      <c r="YV6" s="34"/>
      <c r="YW6" s="34"/>
      <c r="YX6" s="34"/>
      <c r="YY6" s="34"/>
      <c r="YZ6" s="34"/>
      <c r="ZA6" s="34"/>
      <c r="ZB6" s="34"/>
      <c r="ZC6" s="34"/>
      <c r="ZD6" s="34"/>
      <c r="ZE6" s="34"/>
      <c r="ZF6" s="34"/>
      <c r="ZG6" s="34"/>
      <c r="ZH6" s="34"/>
      <c r="ZI6" s="34"/>
      <c r="ZJ6" s="34"/>
      <c r="ZK6" s="34"/>
      <c r="ZL6" s="34"/>
      <c r="ZM6" s="34"/>
      <c r="ZN6" s="34"/>
      <c r="ZO6" s="34"/>
      <c r="ZP6" s="34"/>
      <c r="ZQ6" s="34"/>
      <c r="ZR6" s="34"/>
      <c r="ZS6" s="34"/>
      <c r="ZT6" s="34"/>
      <c r="ZU6" s="34"/>
      <c r="ZV6" s="34"/>
      <c r="ZW6" s="34"/>
      <c r="ZX6" s="34"/>
      <c r="ZY6" s="35"/>
    </row>
    <row r="7">
      <c r="A7" s="36"/>
      <c r="B7" s="37" t="s">
        <v>11</v>
      </c>
      <c r="C7" s="38" t="s">
        <v>9</v>
      </c>
      <c r="D7" s="39">
        <v>390.0</v>
      </c>
      <c r="E7" s="40">
        <v>85.0</v>
      </c>
      <c r="F7" s="41">
        <f t="shared" ref="F7:F12" si="1">ROUND(D7*E7,2)</f>
        <v>33150</v>
      </c>
      <c r="G7" s="42"/>
      <c r="H7" s="42"/>
      <c r="ZY7" s="19"/>
    </row>
    <row r="8">
      <c r="A8" s="26"/>
      <c r="B8" s="43" t="s">
        <v>12</v>
      </c>
      <c r="C8" s="28" t="s">
        <v>9</v>
      </c>
      <c r="D8" s="44">
        <v>250.0</v>
      </c>
      <c r="E8" s="40">
        <v>115.0</v>
      </c>
      <c r="F8" s="41">
        <f t="shared" si="1"/>
        <v>28750</v>
      </c>
      <c r="G8" s="45" t="s">
        <v>13</v>
      </c>
      <c r="H8" s="46"/>
      <c r="I8" s="47"/>
      <c r="J8" s="47"/>
      <c r="K8" s="47"/>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c r="EG8" s="47"/>
      <c r="EH8" s="47"/>
      <c r="EI8" s="47"/>
      <c r="EJ8" s="47"/>
      <c r="EK8" s="47"/>
      <c r="EL8" s="47"/>
      <c r="EM8" s="47"/>
      <c r="EN8" s="47"/>
      <c r="EO8" s="47"/>
      <c r="EP8" s="47"/>
      <c r="EQ8" s="47"/>
      <c r="ER8" s="47"/>
      <c r="ES8" s="47"/>
      <c r="ET8" s="47"/>
      <c r="EU8" s="47"/>
      <c r="EV8" s="47"/>
      <c r="EW8" s="47"/>
      <c r="EX8" s="47"/>
      <c r="EY8" s="47"/>
      <c r="EZ8" s="47"/>
      <c r="FA8" s="47"/>
      <c r="FB8" s="47"/>
      <c r="FC8" s="47"/>
      <c r="FD8" s="47"/>
      <c r="FE8" s="47"/>
      <c r="FF8" s="47"/>
      <c r="FG8" s="47"/>
      <c r="FH8" s="47"/>
      <c r="FI8" s="47"/>
      <c r="FJ8" s="47"/>
      <c r="FK8" s="47"/>
      <c r="FL8" s="47"/>
      <c r="FM8" s="47"/>
      <c r="FN8" s="47"/>
      <c r="FO8" s="47"/>
      <c r="FP8" s="47"/>
      <c r="FQ8" s="47"/>
      <c r="FR8" s="47"/>
      <c r="FS8" s="47"/>
      <c r="FT8" s="47"/>
      <c r="FU8" s="47"/>
      <c r="FV8" s="47"/>
      <c r="FW8" s="47"/>
      <c r="FX8" s="47"/>
      <c r="FY8" s="47"/>
      <c r="FZ8" s="47"/>
      <c r="GA8" s="47"/>
      <c r="GB8" s="47"/>
      <c r="GC8" s="47"/>
      <c r="GD8" s="47"/>
      <c r="GE8" s="47"/>
      <c r="GF8" s="47"/>
      <c r="GG8" s="47"/>
      <c r="GH8" s="47"/>
      <c r="GI8" s="47"/>
      <c r="GJ8" s="47"/>
      <c r="GK8" s="47"/>
      <c r="GL8" s="47"/>
      <c r="GM8" s="47"/>
      <c r="GN8" s="47"/>
      <c r="GO8" s="47"/>
      <c r="GP8" s="47"/>
      <c r="GQ8" s="47"/>
      <c r="GR8" s="47"/>
      <c r="GS8" s="47"/>
      <c r="GT8" s="47"/>
      <c r="GU8" s="47"/>
      <c r="GV8" s="47"/>
      <c r="GW8" s="47"/>
      <c r="GX8" s="47"/>
      <c r="GY8" s="47"/>
      <c r="GZ8" s="47"/>
      <c r="HA8" s="47"/>
      <c r="HB8" s="47"/>
      <c r="HC8" s="47"/>
      <c r="HD8" s="47"/>
      <c r="HE8" s="47"/>
      <c r="HF8" s="47"/>
      <c r="HG8" s="47"/>
      <c r="HH8" s="47"/>
      <c r="HI8" s="47"/>
      <c r="HJ8" s="47"/>
      <c r="HK8" s="47"/>
      <c r="HL8" s="47"/>
      <c r="HM8" s="47"/>
      <c r="HN8" s="47"/>
      <c r="HO8" s="47"/>
      <c r="HP8" s="47"/>
      <c r="HQ8" s="47"/>
      <c r="HR8" s="47"/>
      <c r="HS8" s="47"/>
      <c r="HT8" s="47"/>
      <c r="HU8" s="47"/>
      <c r="HV8" s="47"/>
      <c r="HW8" s="47"/>
      <c r="HX8" s="47"/>
      <c r="HY8" s="47"/>
      <c r="HZ8" s="47"/>
      <c r="IA8" s="47"/>
      <c r="IB8" s="47"/>
      <c r="IC8" s="47"/>
      <c r="ID8" s="47"/>
      <c r="IE8" s="47"/>
      <c r="IF8" s="47"/>
      <c r="IG8" s="47"/>
      <c r="IH8" s="47"/>
      <c r="II8" s="47"/>
      <c r="IJ8" s="47"/>
      <c r="IK8" s="47"/>
      <c r="IL8" s="47"/>
      <c r="IM8" s="47"/>
      <c r="IN8" s="47"/>
      <c r="IO8" s="47"/>
      <c r="IP8" s="47"/>
      <c r="IQ8" s="47"/>
      <c r="IR8" s="47"/>
      <c r="IS8" s="47"/>
      <c r="IT8" s="47"/>
      <c r="IU8" s="47"/>
      <c r="IV8" s="47"/>
      <c r="IW8" s="47"/>
      <c r="IX8" s="47"/>
      <c r="IY8" s="47"/>
      <c r="IZ8" s="47"/>
      <c r="JA8" s="47"/>
      <c r="JB8" s="47"/>
      <c r="JC8" s="47"/>
      <c r="JD8" s="47"/>
      <c r="JE8" s="47"/>
      <c r="JF8" s="47"/>
      <c r="JG8" s="47"/>
      <c r="JH8" s="47"/>
      <c r="JI8" s="47"/>
      <c r="JJ8" s="47"/>
      <c r="JK8" s="47"/>
      <c r="JL8" s="47"/>
      <c r="JM8" s="47"/>
      <c r="JN8" s="47"/>
      <c r="JO8" s="47"/>
      <c r="JP8" s="47"/>
      <c r="JQ8" s="47"/>
      <c r="JR8" s="47"/>
      <c r="JS8" s="47"/>
      <c r="JT8" s="47"/>
      <c r="JU8" s="47"/>
      <c r="JV8" s="47"/>
      <c r="JW8" s="47"/>
      <c r="JX8" s="47"/>
      <c r="JY8" s="47"/>
      <c r="JZ8" s="47"/>
      <c r="KA8" s="47"/>
      <c r="KB8" s="47"/>
      <c r="KC8" s="47"/>
      <c r="KD8" s="47"/>
      <c r="KE8" s="47"/>
      <c r="KF8" s="47"/>
      <c r="KG8" s="47"/>
      <c r="KH8" s="47"/>
      <c r="KI8" s="47"/>
      <c r="KJ8" s="47"/>
      <c r="KK8" s="47"/>
      <c r="KL8" s="47"/>
      <c r="KM8" s="47"/>
      <c r="KN8" s="47"/>
      <c r="KO8" s="47"/>
      <c r="KP8" s="47"/>
      <c r="KQ8" s="47"/>
      <c r="KR8" s="47"/>
      <c r="KS8" s="47"/>
      <c r="KT8" s="47"/>
      <c r="KU8" s="47"/>
      <c r="KV8" s="47"/>
      <c r="KW8" s="47"/>
      <c r="KX8" s="47"/>
      <c r="KY8" s="47"/>
      <c r="KZ8" s="47"/>
      <c r="LA8" s="47"/>
      <c r="LB8" s="47"/>
      <c r="LC8" s="47"/>
      <c r="LD8" s="47"/>
      <c r="LE8" s="47"/>
      <c r="LF8" s="47"/>
      <c r="LG8" s="47"/>
      <c r="LH8" s="47"/>
      <c r="LI8" s="47"/>
      <c r="LJ8" s="47"/>
      <c r="LK8" s="47"/>
      <c r="LL8" s="47"/>
      <c r="LM8" s="47"/>
      <c r="LN8" s="47"/>
      <c r="LO8" s="47"/>
      <c r="LP8" s="47"/>
      <c r="LQ8" s="47"/>
      <c r="LR8" s="47"/>
      <c r="LS8" s="47"/>
      <c r="LT8" s="47"/>
      <c r="LU8" s="47"/>
      <c r="LV8" s="47"/>
      <c r="LW8" s="47"/>
      <c r="LX8" s="47"/>
      <c r="LY8" s="47"/>
      <c r="LZ8" s="47"/>
      <c r="MA8" s="47"/>
      <c r="MB8" s="47"/>
      <c r="MC8" s="47"/>
      <c r="MD8" s="47"/>
      <c r="ME8" s="47"/>
      <c r="MF8" s="47"/>
      <c r="MG8" s="47"/>
      <c r="MH8" s="47"/>
      <c r="MI8" s="47"/>
      <c r="MJ8" s="47"/>
      <c r="MK8" s="47"/>
      <c r="ML8" s="47"/>
      <c r="MM8" s="47"/>
      <c r="MN8" s="47"/>
      <c r="MO8" s="47"/>
      <c r="MP8" s="47"/>
      <c r="MQ8" s="47"/>
      <c r="MR8" s="47"/>
      <c r="MS8" s="47"/>
      <c r="MT8" s="47"/>
      <c r="MU8" s="47"/>
      <c r="MV8" s="47"/>
      <c r="MW8" s="47"/>
      <c r="MX8" s="47"/>
      <c r="MY8" s="47"/>
      <c r="MZ8" s="47"/>
      <c r="NA8" s="47"/>
      <c r="NB8" s="47"/>
      <c r="NC8" s="47"/>
      <c r="ND8" s="47"/>
      <c r="NE8" s="47"/>
      <c r="NF8" s="47"/>
      <c r="NG8" s="47"/>
      <c r="NH8" s="47"/>
      <c r="NI8" s="47"/>
      <c r="NJ8" s="47"/>
      <c r="NK8" s="47"/>
      <c r="NL8" s="47"/>
      <c r="NM8" s="47"/>
      <c r="NN8" s="47"/>
      <c r="NO8" s="47"/>
      <c r="NP8" s="47"/>
      <c r="NQ8" s="47"/>
      <c r="NR8" s="47"/>
      <c r="NS8" s="47"/>
      <c r="NT8" s="47"/>
      <c r="NU8" s="47"/>
      <c r="NV8" s="47"/>
      <c r="NW8" s="47"/>
      <c r="NX8" s="47"/>
      <c r="NY8" s="47"/>
      <c r="NZ8" s="47"/>
      <c r="OA8" s="47"/>
      <c r="OB8" s="47"/>
      <c r="OC8" s="47"/>
      <c r="OD8" s="47"/>
      <c r="OE8" s="47"/>
      <c r="OF8" s="47"/>
      <c r="OG8" s="47"/>
      <c r="OH8" s="47"/>
      <c r="OI8" s="47"/>
      <c r="OJ8" s="47"/>
      <c r="OK8" s="47"/>
      <c r="OL8" s="47"/>
      <c r="OM8" s="47"/>
      <c r="ON8" s="47"/>
      <c r="OO8" s="47"/>
      <c r="OP8" s="47"/>
      <c r="OQ8" s="47"/>
      <c r="OR8" s="47"/>
      <c r="OS8" s="47"/>
      <c r="OT8" s="47"/>
      <c r="OU8" s="47"/>
      <c r="OV8" s="47"/>
      <c r="OW8" s="47"/>
      <c r="OX8" s="47"/>
      <c r="OY8" s="47"/>
      <c r="OZ8" s="47"/>
      <c r="PA8" s="47"/>
      <c r="PB8" s="47"/>
      <c r="PC8" s="47"/>
      <c r="PD8" s="47"/>
      <c r="PE8" s="47"/>
      <c r="PF8" s="47"/>
      <c r="PG8" s="47"/>
      <c r="PH8" s="47"/>
      <c r="PI8" s="47"/>
      <c r="PJ8" s="47"/>
      <c r="PK8" s="47"/>
      <c r="PL8" s="47"/>
      <c r="PM8" s="47"/>
      <c r="PN8" s="47"/>
      <c r="PO8" s="47"/>
      <c r="PP8" s="47"/>
      <c r="PQ8" s="47"/>
      <c r="PR8" s="47"/>
      <c r="PS8" s="47"/>
      <c r="PT8" s="47"/>
      <c r="PU8" s="47"/>
      <c r="PV8" s="47"/>
      <c r="PW8" s="47"/>
      <c r="PX8" s="47"/>
      <c r="PY8" s="47"/>
      <c r="PZ8" s="47"/>
      <c r="QA8" s="47"/>
      <c r="QB8" s="47"/>
      <c r="QC8" s="47"/>
      <c r="QD8" s="47"/>
      <c r="QE8" s="47"/>
      <c r="QF8" s="47"/>
      <c r="QG8" s="47"/>
      <c r="QH8" s="47"/>
      <c r="QI8" s="47"/>
      <c r="QJ8" s="47"/>
      <c r="QK8" s="47"/>
      <c r="QL8" s="47"/>
      <c r="QM8" s="47"/>
      <c r="QN8" s="47"/>
      <c r="QO8" s="47"/>
      <c r="QP8" s="47"/>
      <c r="QQ8" s="47"/>
      <c r="QR8" s="47"/>
      <c r="QS8" s="47"/>
      <c r="QT8" s="47"/>
      <c r="QU8" s="47"/>
      <c r="QV8" s="47"/>
      <c r="QW8" s="47"/>
      <c r="QX8" s="47"/>
      <c r="QY8" s="47"/>
      <c r="QZ8" s="47"/>
      <c r="RA8" s="47"/>
      <c r="RB8" s="47"/>
      <c r="RC8" s="47"/>
      <c r="RD8" s="47"/>
      <c r="RE8" s="47"/>
      <c r="RF8" s="47"/>
      <c r="RG8" s="47"/>
      <c r="RH8" s="47"/>
      <c r="RI8" s="47"/>
      <c r="RJ8" s="47"/>
      <c r="RK8" s="47"/>
      <c r="RL8" s="47"/>
      <c r="RM8" s="47"/>
      <c r="RN8" s="47"/>
      <c r="RO8" s="47"/>
      <c r="RP8" s="47"/>
      <c r="RQ8" s="47"/>
      <c r="RR8" s="47"/>
      <c r="RS8" s="47"/>
      <c r="RT8" s="47"/>
      <c r="RU8" s="47"/>
      <c r="RV8" s="47"/>
      <c r="RW8" s="47"/>
      <c r="RX8" s="47"/>
      <c r="RY8" s="47"/>
      <c r="RZ8" s="47"/>
      <c r="SA8" s="47"/>
      <c r="SB8" s="47"/>
      <c r="SC8" s="47"/>
      <c r="SD8" s="47"/>
      <c r="SE8" s="47"/>
      <c r="SF8" s="47"/>
      <c r="SG8" s="47"/>
      <c r="SH8" s="47"/>
      <c r="SI8" s="47"/>
      <c r="SJ8" s="47"/>
      <c r="SK8" s="47"/>
      <c r="SL8" s="47"/>
      <c r="SM8" s="47"/>
      <c r="SN8" s="47"/>
      <c r="SO8" s="47"/>
      <c r="SP8" s="47"/>
      <c r="SQ8" s="47"/>
      <c r="SR8" s="47"/>
      <c r="SS8" s="47"/>
      <c r="ST8" s="47"/>
      <c r="SU8" s="47"/>
      <c r="SV8" s="47"/>
      <c r="SW8" s="47"/>
      <c r="SX8" s="47"/>
      <c r="SY8" s="47"/>
      <c r="SZ8" s="47"/>
      <c r="TA8" s="47"/>
      <c r="TB8" s="47"/>
      <c r="TC8" s="47"/>
      <c r="TD8" s="47"/>
      <c r="TE8" s="47"/>
      <c r="TF8" s="47"/>
      <c r="TG8" s="47"/>
      <c r="TH8" s="47"/>
      <c r="TI8" s="47"/>
      <c r="TJ8" s="47"/>
      <c r="TK8" s="47"/>
      <c r="TL8" s="47"/>
      <c r="TM8" s="47"/>
      <c r="TN8" s="47"/>
      <c r="TO8" s="47"/>
      <c r="TP8" s="47"/>
      <c r="TQ8" s="47"/>
      <c r="TR8" s="47"/>
      <c r="TS8" s="47"/>
      <c r="TT8" s="47"/>
      <c r="TU8" s="47"/>
      <c r="TV8" s="47"/>
      <c r="TW8" s="47"/>
      <c r="TX8" s="47"/>
      <c r="TY8" s="47"/>
      <c r="TZ8" s="47"/>
      <c r="UA8" s="47"/>
      <c r="UB8" s="47"/>
      <c r="UC8" s="47"/>
      <c r="UD8" s="47"/>
      <c r="UE8" s="47"/>
      <c r="UF8" s="47"/>
      <c r="UG8" s="47"/>
      <c r="UH8" s="47"/>
      <c r="UI8" s="47"/>
      <c r="UJ8" s="47"/>
      <c r="UK8" s="47"/>
      <c r="UL8" s="47"/>
      <c r="UM8" s="47"/>
      <c r="UN8" s="47"/>
      <c r="UO8" s="47"/>
      <c r="UP8" s="47"/>
      <c r="UQ8" s="47"/>
      <c r="UR8" s="47"/>
      <c r="US8" s="47"/>
      <c r="UT8" s="47"/>
      <c r="UU8" s="47"/>
      <c r="UV8" s="47"/>
      <c r="UW8" s="47"/>
      <c r="UX8" s="47"/>
      <c r="UY8" s="47"/>
      <c r="UZ8" s="47"/>
      <c r="VA8" s="47"/>
      <c r="VB8" s="47"/>
      <c r="VC8" s="47"/>
      <c r="VD8" s="47"/>
      <c r="VE8" s="47"/>
      <c r="VF8" s="47"/>
      <c r="VG8" s="47"/>
      <c r="VH8" s="47"/>
      <c r="VI8" s="47"/>
      <c r="VJ8" s="47"/>
      <c r="VK8" s="47"/>
      <c r="VL8" s="47"/>
      <c r="VM8" s="47"/>
      <c r="VN8" s="47"/>
      <c r="VO8" s="47"/>
      <c r="VP8" s="47"/>
      <c r="VQ8" s="47"/>
      <c r="VR8" s="47"/>
      <c r="VS8" s="47"/>
      <c r="VT8" s="47"/>
      <c r="VU8" s="47"/>
      <c r="VV8" s="47"/>
      <c r="VW8" s="47"/>
      <c r="VX8" s="47"/>
      <c r="VY8" s="47"/>
      <c r="VZ8" s="47"/>
      <c r="WA8" s="47"/>
      <c r="WB8" s="47"/>
      <c r="WC8" s="47"/>
      <c r="WD8" s="47"/>
      <c r="WE8" s="47"/>
      <c r="WF8" s="47"/>
      <c r="WG8" s="47"/>
      <c r="WH8" s="47"/>
      <c r="WI8" s="47"/>
      <c r="WJ8" s="47"/>
      <c r="WK8" s="47"/>
      <c r="WL8" s="47"/>
      <c r="WM8" s="47"/>
      <c r="WN8" s="47"/>
      <c r="WO8" s="47"/>
      <c r="WP8" s="47"/>
      <c r="WQ8" s="47"/>
      <c r="WR8" s="47"/>
      <c r="WS8" s="47"/>
      <c r="WT8" s="47"/>
      <c r="WU8" s="47"/>
      <c r="WV8" s="47"/>
      <c r="WW8" s="47"/>
      <c r="WX8" s="47"/>
      <c r="WY8" s="47"/>
      <c r="WZ8" s="47"/>
      <c r="XA8" s="47"/>
      <c r="XB8" s="47"/>
      <c r="XC8" s="47"/>
      <c r="XD8" s="47"/>
      <c r="XE8" s="47"/>
      <c r="XF8" s="47"/>
      <c r="XG8" s="47"/>
      <c r="XH8" s="47"/>
      <c r="XI8" s="47"/>
      <c r="XJ8" s="47"/>
      <c r="XK8" s="47"/>
      <c r="XL8" s="47"/>
      <c r="XM8" s="47"/>
      <c r="XN8" s="47"/>
      <c r="XO8" s="47"/>
      <c r="XP8" s="47"/>
      <c r="XQ8" s="47"/>
      <c r="XR8" s="47"/>
      <c r="XS8" s="47"/>
      <c r="XT8" s="47"/>
      <c r="XU8" s="47"/>
      <c r="XV8" s="47"/>
      <c r="XW8" s="47"/>
      <c r="XX8" s="47"/>
      <c r="XY8" s="47"/>
      <c r="XZ8" s="47"/>
      <c r="YA8" s="47"/>
      <c r="YB8" s="47"/>
      <c r="YC8" s="47"/>
      <c r="YD8" s="47"/>
      <c r="YE8" s="47"/>
      <c r="YF8" s="47"/>
      <c r="YG8" s="47"/>
      <c r="YH8" s="47"/>
      <c r="YI8" s="47"/>
      <c r="YJ8" s="47"/>
      <c r="YK8" s="47"/>
      <c r="YL8" s="47"/>
      <c r="YM8" s="47"/>
      <c r="YN8" s="47"/>
      <c r="YO8" s="47"/>
      <c r="YP8" s="47"/>
      <c r="YQ8" s="47"/>
      <c r="YR8" s="47"/>
      <c r="YS8" s="47"/>
      <c r="YT8" s="47"/>
      <c r="YU8" s="47"/>
      <c r="YV8" s="47"/>
      <c r="YW8" s="47"/>
      <c r="YX8" s="47"/>
      <c r="YY8" s="47"/>
      <c r="YZ8" s="47"/>
      <c r="ZA8" s="47"/>
      <c r="ZB8" s="47"/>
      <c r="ZC8" s="47"/>
      <c r="ZD8" s="47"/>
      <c r="ZE8" s="47"/>
      <c r="ZF8" s="47"/>
      <c r="ZG8" s="47"/>
      <c r="ZH8" s="47"/>
      <c r="ZI8" s="47"/>
      <c r="ZJ8" s="47"/>
      <c r="ZK8" s="47"/>
      <c r="ZL8" s="47"/>
      <c r="ZM8" s="47"/>
      <c r="ZN8" s="47"/>
      <c r="ZO8" s="47"/>
      <c r="ZP8" s="47"/>
      <c r="ZQ8" s="47"/>
      <c r="ZR8" s="47"/>
      <c r="ZS8" s="47"/>
      <c r="ZT8" s="47"/>
      <c r="ZU8" s="47"/>
      <c r="ZV8" s="47"/>
      <c r="ZW8" s="47"/>
      <c r="ZX8" s="47"/>
      <c r="ZY8" s="35"/>
    </row>
    <row r="9">
      <c r="A9" s="36"/>
      <c r="B9" s="37" t="s">
        <v>14</v>
      </c>
      <c r="C9" s="48" t="s">
        <v>9</v>
      </c>
      <c r="D9" s="39">
        <v>900.0</v>
      </c>
      <c r="E9" s="40">
        <v>58.0</v>
      </c>
      <c r="F9" s="41">
        <f t="shared" si="1"/>
        <v>52200</v>
      </c>
      <c r="G9" s="49"/>
      <c r="H9" s="50"/>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c r="BM9" s="51"/>
      <c r="BN9" s="51"/>
      <c r="BO9" s="51"/>
      <c r="BP9" s="51"/>
      <c r="BQ9" s="51"/>
      <c r="BR9" s="51"/>
      <c r="BS9" s="51"/>
      <c r="BT9" s="51"/>
      <c r="BU9" s="51"/>
      <c r="BV9" s="51"/>
      <c r="BW9" s="51"/>
      <c r="BX9" s="51"/>
      <c r="BY9" s="51"/>
      <c r="BZ9" s="51"/>
      <c r="CA9" s="51"/>
      <c r="CB9" s="51"/>
      <c r="CC9" s="51"/>
      <c r="CD9" s="51"/>
      <c r="CE9" s="51"/>
      <c r="CF9" s="51"/>
      <c r="CG9" s="51"/>
      <c r="CH9" s="51"/>
      <c r="CI9" s="51"/>
      <c r="CJ9" s="51"/>
      <c r="CK9" s="51"/>
      <c r="CL9" s="51"/>
      <c r="CM9" s="51"/>
      <c r="CN9" s="51"/>
      <c r="CO9" s="51"/>
      <c r="CP9" s="51"/>
      <c r="CQ9" s="51"/>
      <c r="CR9" s="51"/>
      <c r="CS9" s="51"/>
      <c r="CT9" s="51"/>
      <c r="CU9" s="51"/>
      <c r="CV9" s="51"/>
      <c r="CW9" s="51"/>
      <c r="CX9" s="51"/>
      <c r="CY9" s="51"/>
      <c r="CZ9" s="51"/>
      <c r="DA9" s="51"/>
      <c r="DB9" s="51"/>
      <c r="DC9" s="51"/>
      <c r="DD9" s="51"/>
      <c r="DE9" s="51"/>
      <c r="DF9" s="51"/>
      <c r="DG9" s="51"/>
      <c r="DH9" s="51"/>
      <c r="DI9" s="51"/>
      <c r="DJ9" s="51"/>
      <c r="DK9" s="51"/>
      <c r="DL9" s="51"/>
      <c r="DM9" s="51"/>
      <c r="DN9" s="51"/>
      <c r="DO9" s="51"/>
      <c r="DP9" s="51"/>
      <c r="DQ9" s="51"/>
      <c r="DR9" s="51"/>
      <c r="DS9" s="51"/>
      <c r="DT9" s="51"/>
      <c r="DU9" s="51"/>
      <c r="DV9" s="51"/>
      <c r="DW9" s="51"/>
      <c r="DX9" s="51"/>
      <c r="DY9" s="51"/>
      <c r="DZ9" s="51"/>
      <c r="EA9" s="51"/>
      <c r="EB9" s="51"/>
      <c r="EC9" s="51"/>
      <c r="ED9" s="51"/>
      <c r="EE9" s="51"/>
      <c r="EF9" s="51"/>
      <c r="EG9" s="51"/>
      <c r="EH9" s="51"/>
      <c r="EI9" s="51"/>
      <c r="EJ9" s="51"/>
      <c r="EK9" s="51"/>
      <c r="EL9" s="51"/>
      <c r="EM9" s="51"/>
      <c r="EN9" s="51"/>
      <c r="EO9" s="51"/>
      <c r="EP9" s="51"/>
      <c r="EQ9" s="51"/>
      <c r="ER9" s="51"/>
      <c r="ES9" s="51"/>
      <c r="ET9" s="51"/>
      <c r="EU9" s="51"/>
      <c r="EV9" s="51"/>
      <c r="EW9" s="51"/>
      <c r="EX9" s="51"/>
      <c r="EY9" s="51"/>
      <c r="EZ9" s="51"/>
      <c r="FA9" s="51"/>
      <c r="FB9" s="51"/>
      <c r="FC9" s="51"/>
      <c r="FD9" s="51"/>
      <c r="FE9" s="51"/>
      <c r="FF9" s="51"/>
      <c r="FG9" s="51"/>
      <c r="FH9" s="51"/>
      <c r="FI9" s="51"/>
      <c r="FJ9" s="51"/>
      <c r="FK9" s="51"/>
      <c r="FL9" s="51"/>
      <c r="FM9" s="51"/>
      <c r="FN9" s="51"/>
      <c r="FO9" s="51"/>
      <c r="FP9" s="51"/>
      <c r="FQ9" s="51"/>
      <c r="FR9" s="51"/>
      <c r="FS9" s="51"/>
      <c r="FT9" s="51"/>
      <c r="FU9" s="51"/>
      <c r="FV9" s="51"/>
      <c r="FW9" s="51"/>
      <c r="FX9" s="51"/>
      <c r="FY9" s="51"/>
      <c r="FZ9" s="51"/>
      <c r="GA9" s="51"/>
      <c r="GB9" s="51"/>
      <c r="GC9" s="51"/>
      <c r="GD9" s="51"/>
      <c r="GE9" s="51"/>
      <c r="GF9" s="51"/>
      <c r="GG9" s="51"/>
      <c r="GH9" s="51"/>
      <c r="GI9" s="51"/>
      <c r="GJ9" s="51"/>
      <c r="GK9" s="51"/>
      <c r="GL9" s="51"/>
      <c r="GM9" s="51"/>
      <c r="GN9" s="51"/>
      <c r="GO9" s="51"/>
      <c r="GP9" s="51"/>
      <c r="GQ9" s="51"/>
      <c r="GR9" s="51"/>
      <c r="GS9" s="51"/>
      <c r="GT9" s="51"/>
      <c r="GU9" s="51"/>
      <c r="GV9" s="51"/>
      <c r="GW9" s="51"/>
      <c r="GX9" s="51"/>
      <c r="GY9" s="51"/>
      <c r="GZ9" s="51"/>
      <c r="HA9" s="51"/>
      <c r="HB9" s="51"/>
      <c r="HC9" s="51"/>
      <c r="HD9" s="51"/>
      <c r="HE9" s="51"/>
      <c r="HF9" s="51"/>
      <c r="HG9" s="51"/>
      <c r="HH9" s="51"/>
      <c r="HI9" s="51"/>
      <c r="HJ9" s="51"/>
      <c r="HK9" s="51"/>
      <c r="HL9" s="51"/>
      <c r="HM9" s="51"/>
      <c r="HN9" s="51"/>
      <c r="HO9" s="51"/>
      <c r="HP9" s="51"/>
      <c r="HQ9" s="51"/>
      <c r="HR9" s="51"/>
      <c r="HS9" s="51"/>
      <c r="HT9" s="51"/>
      <c r="HU9" s="51"/>
      <c r="HV9" s="51"/>
      <c r="HW9" s="51"/>
      <c r="HX9" s="51"/>
      <c r="HY9" s="51"/>
      <c r="HZ9" s="51"/>
      <c r="IA9" s="51"/>
      <c r="IB9" s="51"/>
      <c r="IC9" s="51"/>
      <c r="ID9" s="51"/>
      <c r="IE9" s="51"/>
      <c r="IF9" s="51"/>
      <c r="IG9" s="51"/>
      <c r="IH9" s="51"/>
      <c r="II9" s="51"/>
      <c r="IJ9" s="51"/>
      <c r="IK9" s="51"/>
      <c r="IL9" s="51"/>
      <c r="IM9" s="51"/>
      <c r="IN9" s="51"/>
      <c r="IO9" s="51"/>
      <c r="IP9" s="51"/>
      <c r="IQ9" s="51"/>
      <c r="IR9" s="51"/>
      <c r="IS9" s="51"/>
      <c r="IT9" s="51"/>
      <c r="IU9" s="51"/>
      <c r="IV9" s="51"/>
      <c r="IW9" s="51"/>
      <c r="IX9" s="51"/>
      <c r="IY9" s="51"/>
      <c r="IZ9" s="51"/>
      <c r="JA9" s="51"/>
      <c r="JB9" s="51"/>
      <c r="JC9" s="51"/>
      <c r="JD9" s="51"/>
      <c r="JE9" s="51"/>
      <c r="JF9" s="51"/>
      <c r="JG9" s="51"/>
      <c r="JH9" s="51"/>
      <c r="JI9" s="51"/>
      <c r="JJ9" s="51"/>
      <c r="JK9" s="51"/>
      <c r="JL9" s="51"/>
      <c r="JM9" s="51"/>
      <c r="JN9" s="51"/>
      <c r="JO9" s="51"/>
      <c r="JP9" s="51"/>
      <c r="JQ9" s="51"/>
      <c r="JR9" s="51"/>
      <c r="JS9" s="51"/>
      <c r="JT9" s="51"/>
      <c r="JU9" s="51"/>
      <c r="JV9" s="51"/>
      <c r="JW9" s="51"/>
      <c r="JX9" s="51"/>
      <c r="JY9" s="51"/>
      <c r="JZ9" s="51"/>
      <c r="KA9" s="51"/>
      <c r="KB9" s="51"/>
      <c r="KC9" s="51"/>
      <c r="KD9" s="51"/>
      <c r="KE9" s="51"/>
      <c r="KF9" s="51"/>
      <c r="KG9" s="51"/>
      <c r="KH9" s="51"/>
      <c r="KI9" s="51"/>
      <c r="KJ9" s="51"/>
      <c r="KK9" s="51"/>
      <c r="KL9" s="51"/>
      <c r="KM9" s="51"/>
      <c r="KN9" s="51"/>
      <c r="KO9" s="51"/>
      <c r="KP9" s="51"/>
      <c r="KQ9" s="51"/>
      <c r="KR9" s="51"/>
      <c r="KS9" s="51"/>
      <c r="KT9" s="51"/>
      <c r="KU9" s="51"/>
      <c r="KV9" s="51"/>
      <c r="KW9" s="51"/>
      <c r="KX9" s="51"/>
      <c r="KY9" s="51"/>
      <c r="KZ9" s="51"/>
      <c r="LA9" s="51"/>
      <c r="LB9" s="51"/>
      <c r="LC9" s="51"/>
      <c r="LD9" s="51"/>
      <c r="LE9" s="51"/>
      <c r="LF9" s="51"/>
      <c r="LG9" s="51"/>
      <c r="LH9" s="51"/>
      <c r="LI9" s="51"/>
      <c r="LJ9" s="51"/>
      <c r="LK9" s="51"/>
      <c r="LL9" s="51"/>
      <c r="LM9" s="51"/>
      <c r="LN9" s="51"/>
      <c r="LO9" s="51"/>
      <c r="LP9" s="51"/>
      <c r="LQ9" s="51"/>
      <c r="LR9" s="51"/>
      <c r="LS9" s="51"/>
      <c r="LT9" s="51"/>
      <c r="LU9" s="51"/>
      <c r="LV9" s="51"/>
      <c r="LW9" s="51"/>
      <c r="LX9" s="51"/>
      <c r="LY9" s="51"/>
      <c r="LZ9" s="51"/>
      <c r="MA9" s="51"/>
      <c r="MB9" s="51"/>
      <c r="MC9" s="51"/>
      <c r="MD9" s="51"/>
      <c r="ME9" s="51"/>
      <c r="MF9" s="51"/>
      <c r="MG9" s="51"/>
      <c r="MH9" s="51"/>
      <c r="MI9" s="51"/>
      <c r="MJ9" s="51"/>
      <c r="MK9" s="51"/>
      <c r="ML9" s="51"/>
      <c r="MM9" s="51"/>
      <c r="MN9" s="51"/>
      <c r="MO9" s="51"/>
      <c r="MP9" s="51"/>
      <c r="MQ9" s="51"/>
      <c r="MR9" s="51"/>
      <c r="MS9" s="51"/>
      <c r="MT9" s="51"/>
      <c r="MU9" s="51"/>
      <c r="MV9" s="51"/>
      <c r="MW9" s="51"/>
      <c r="MX9" s="51"/>
      <c r="MY9" s="51"/>
      <c r="MZ9" s="51"/>
      <c r="NA9" s="51"/>
      <c r="NB9" s="51"/>
      <c r="NC9" s="51"/>
      <c r="ND9" s="51"/>
      <c r="NE9" s="51"/>
      <c r="NF9" s="51"/>
      <c r="NG9" s="51"/>
      <c r="NH9" s="51"/>
      <c r="NI9" s="51"/>
      <c r="NJ9" s="51"/>
      <c r="NK9" s="51"/>
      <c r="NL9" s="51"/>
      <c r="NM9" s="51"/>
      <c r="NN9" s="51"/>
      <c r="NO9" s="51"/>
      <c r="NP9" s="51"/>
      <c r="NQ9" s="51"/>
      <c r="NR9" s="51"/>
      <c r="NS9" s="51"/>
      <c r="NT9" s="51"/>
      <c r="NU9" s="51"/>
      <c r="NV9" s="51"/>
      <c r="NW9" s="51"/>
      <c r="NX9" s="51"/>
      <c r="NY9" s="51"/>
      <c r="NZ9" s="51"/>
      <c r="OA9" s="51"/>
      <c r="OB9" s="51"/>
      <c r="OC9" s="51"/>
      <c r="OD9" s="51"/>
      <c r="OE9" s="51"/>
      <c r="OF9" s="51"/>
      <c r="OG9" s="51"/>
      <c r="OH9" s="51"/>
      <c r="OI9" s="51"/>
      <c r="OJ9" s="51"/>
      <c r="OK9" s="51"/>
      <c r="OL9" s="51"/>
      <c r="OM9" s="51"/>
      <c r="ON9" s="51"/>
      <c r="OO9" s="51"/>
      <c r="OP9" s="51"/>
      <c r="OQ9" s="51"/>
      <c r="OR9" s="51"/>
      <c r="OS9" s="51"/>
      <c r="OT9" s="51"/>
      <c r="OU9" s="51"/>
      <c r="OV9" s="51"/>
      <c r="OW9" s="51"/>
      <c r="OX9" s="51"/>
      <c r="OY9" s="51"/>
      <c r="OZ9" s="51"/>
      <c r="PA9" s="51"/>
      <c r="PB9" s="51"/>
      <c r="PC9" s="51"/>
      <c r="PD9" s="51"/>
      <c r="PE9" s="51"/>
      <c r="PF9" s="51"/>
      <c r="PG9" s="51"/>
      <c r="PH9" s="51"/>
      <c r="PI9" s="51"/>
      <c r="PJ9" s="51"/>
      <c r="PK9" s="51"/>
      <c r="PL9" s="51"/>
      <c r="PM9" s="51"/>
      <c r="PN9" s="51"/>
      <c r="PO9" s="51"/>
      <c r="PP9" s="51"/>
      <c r="PQ9" s="51"/>
      <c r="PR9" s="51"/>
      <c r="PS9" s="51"/>
      <c r="PT9" s="51"/>
      <c r="PU9" s="51"/>
      <c r="PV9" s="51"/>
      <c r="PW9" s="51"/>
      <c r="PX9" s="51"/>
      <c r="PY9" s="51"/>
      <c r="PZ9" s="51"/>
      <c r="QA9" s="51"/>
      <c r="QB9" s="51"/>
      <c r="QC9" s="51"/>
      <c r="QD9" s="51"/>
      <c r="QE9" s="51"/>
      <c r="QF9" s="51"/>
      <c r="QG9" s="51"/>
      <c r="QH9" s="51"/>
      <c r="QI9" s="51"/>
      <c r="QJ9" s="51"/>
      <c r="QK9" s="51"/>
      <c r="QL9" s="51"/>
      <c r="QM9" s="51"/>
      <c r="QN9" s="51"/>
      <c r="QO9" s="51"/>
      <c r="QP9" s="51"/>
      <c r="QQ9" s="51"/>
      <c r="QR9" s="51"/>
      <c r="QS9" s="51"/>
      <c r="QT9" s="51"/>
      <c r="QU9" s="51"/>
      <c r="QV9" s="51"/>
      <c r="QW9" s="51"/>
      <c r="QX9" s="51"/>
      <c r="QY9" s="51"/>
      <c r="QZ9" s="51"/>
      <c r="RA9" s="51"/>
      <c r="RB9" s="51"/>
      <c r="RC9" s="51"/>
      <c r="RD9" s="51"/>
      <c r="RE9" s="51"/>
      <c r="RF9" s="51"/>
      <c r="RG9" s="51"/>
      <c r="RH9" s="51"/>
      <c r="RI9" s="51"/>
      <c r="RJ9" s="51"/>
      <c r="RK9" s="51"/>
      <c r="RL9" s="51"/>
      <c r="RM9" s="51"/>
      <c r="RN9" s="51"/>
      <c r="RO9" s="51"/>
      <c r="RP9" s="51"/>
      <c r="RQ9" s="51"/>
      <c r="RR9" s="51"/>
      <c r="RS9" s="51"/>
      <c r="RT9" s="51"/>
      <c r="RU9" s="51"/>
      <c r="RV9" s="51"/>
      <c r="RW9" s="51"/>
      <c r="RX9" s="51"/>
      <c r="RY9" s="51"/>
      <c r="RZ9" s="51"/>
      <c r="SA9" s="51"/>
      <c r="SB9" s="51"/>
      <c r="SC9" s="51"/>
      <c r="SD9" s="51"/>
      <c r="SE9" s="51"/>
      <c r="SF9" s="51"/>
      <c r="SG9" s="51"/>
      <c r="SH9" s="51"/>
      <c r="SI9" s="51"/>
      <c r="SJ9" s="51"/>
      <c r="SK9" s="51"/>
      <c r="SL9" s="51"/>
      <c r="SM9" s="51"/>
      <c r="SN9" s="51"/>
      <c r="SO9" s="51"/>
      <c r="SP9" s="51"/>
      <c r="SQ9" s="51"/>
      <c r="SR9" s="51"/>
      <c r="SS9" s="51"/>
      <c r="ST9" s="51"/>
      <c r="SU9" s="51"/>
      <c r="SV9" s="51"/>
      <c r="SW9" s="51"/>
      <c r="SX9" s="51"/>
      <c r="SY9" s="51"/>
      <c r="SZ9" s="51"/>
      <c r="TA9" s="51"/>
      <c r="TB9" s="51"/>
      <c r="TC9" s="51"/>
      <c r="TD9" s="51"/>
      <c r="TE9" s="51"/>
      <c r="TF9" s="51"/>
      <c r="TG9" s="51"/>
      <c r="TH9" s="51"/>
      <c r="TI9" s="51"/>
      <c r="TJ9" s="51"/>
      <c r="TK9" s="51"/>
      <c r="TL9" s="51"/>
      <c r="TM9" s="51"/>
      <c r="TN9" s="51"/>
      <c r="TO9" s="51"/>
      <c r="TP9" s="51"/>
      <c r="TQ9" s="51"/>
      <c r="TR9" s="51"/>
      <c r="TS9" s="51"/>
      <c r="TT9" s="51"/>
      <c r="TU9" s="51"/>
      <c r="TV9" s="51"/>
      <c r="TW9" s="51"/>
      <c r="TX9" s="51"/>
      <c r="TY9" s="51"/>
      <c r="TZ9" s="51"/>
      <c r="UA9" s="51"/>
      <c r="UB9" s="51"/>
      <c r="UC9" s="51"/>
      <c r="UD9" s="51"/>
      <c r="UE9" s="51"/>
      <c r="UF9" s="51"/>
      <c r="UG9" s="51"/>
      <c r="UH9" s="51"/>
      <c r="UI9" s="51"/>
      <c r="UJ9" s="51"/>
      <c r="UK9" s="51"/>
      <c r="UL9" s="51"/>
      <c r="UM9" s="51"/>
      <c r="UN9" s="51"/>
      <c r="UO9" s="51"/>
      <c r="UP9" s="51"/>
      <c r="UQ9" s="51"/>
      <c r="UR9" s="51"/>
      <c r="US9" s="51"/>
      <c r="UT9" s="51"/>
      <c r="UU9" s="51"/>
      <c r="UV9" s="51"/>
      <c r="UW9" s="51"/>
      <c r="UX9" s="51"/>
      <c r="UY9" s="51"/>
      <c r="UZ9" s="51"/>
      <c r="VA9" s="51"/>
      <c r="VB9" s="51"/>
      <c r="VC9" s="51"/>
      <c r="VD9" s="51"/>
      <c r="VE9" s="51"/>
      <c r="VF9" s="51"/>
      <c r="VG9" s="51"/>
      <c r="VH9" s="51"/>
      <c r="VI9" s="51"/>
      <c r="VJ9" s="51"/>
      <c r="VK9" s="51"/>
      <c r="VL9" s="51"/>
      <c r="VM9" s="51"/>
      <c r="VN9" s="51"/>
      <c r="VO9" s="51"/>
      <c r="VP9" s="51"/>
      <c r="VQ9" s="51"/>
      <c r="VR9" s="51"/>
      <c r="VS9" s="51"/>
      <c r="VT9" s="51"/>
      <c r="VU9" s="51"/>
      <c r="VV9" s="51"/>
      <c r="VW9" s="51"/>
      <c r="VX9" s="51"/>
      <c r="VY9" s="51"/>
      <c r="VZ9" s="51"/>
      <c r="WA9" s="51"/>
      <c r="WB9" s="51"/>
      <c r="WC9" s="51"/>
      <c r="WD9" s="51"/>
      <c r="WE9" s="51"/>
      <c r="WF9" s="51"/>
      <c r="WG9" s="51"/>
      <c r="WH9" s="51"/>
      <c r="WI9" s="51"/>
      <c r="WJ9" s="51"/>
      <c r="WK9" s="51"/>
      <c r="WL9" s="51"/>
      <c r="WM9" s="51"/>
      <c r="WN9" s="51"/>
      <c r="WO9" s="51"/>
      <c r="WP9" s="51"/>
      <c r="WQ9" s="51"/>
      <c r="WR9" s="51"/>
      <c r="WS9" s="51"/>
      <c r="WT9" s="51"/>
      <c r="WU9" s="51"/>
      <c r="WV9" s="51"/>
      <c r="WW9" s="51"/>
      <c r="WX9" s="51"/>
      <c r="WY9" s="51"/>
      <c r="WZ9" s="51"/>
      <c r="XA9" s="51"/>
      <c r="XB9" s="51"/>
      <c r="XC9" s="51"/>
      <c r="XD9" s="51"/>
      <c r="XE9" s="51"/>
      <c r="XF9" s="51"/>
      <c r="XG9" s="51"/>
      <c r="XH9" s="51"/>
      <c r="XI9" s="51"/>
      <c r="XJ9" s="51"/>
      <c r="XK9" s="51"/>
      <c r="XL9" s="51"/>
      <c r="XM9" s="51"/>
      <c r="XN9" s="51"/>
      <c r="XO9" s="51"/>
      <c r="XP9" s="51"/>
      <c r="XQ9" s="51"/>
      <c r="XR9" s="51"/>
      <c r="XS9" s="51"/>
      <c r="XT9" s="51"/>
      <c r="XU9" s="51"/>
      <c r="XV9" s="51"/>
      <c r="XW9" s="51"/>
      <c r="XX9" s="51"/>
      <c r="XY9" s="51"/>
      <c r="XZ9" s="51"/>
      <c r="YA9" s="51"/>
      <c r="YB9" s="51"/>
      <c r="YC9" s="51"/>
      <c r="YD9" s="51"/>
      <c r="YE9" s="51"/>
      <c r="YF9" s="51"/>
      <c r="YG9" s="51"/>
      <c r="YH9" s="51"/>
      <c r="YI9" s="51"/>
      <c r="YJ9" s="51"/>
      <c r="YK9" s="51"/>
      <c r="YL9" s="51"/>
      <c r="YM9" s="51"/>
      <c r="YN9" s="51"/>
      <c r="YO9" s="51"/>
      <c r="YP9" s="51"/>
      <c r="YQ9" s="51"/>
      <c r="YR9" s="51"/>
      <c r="YS9" s="51"/>
      <c r="YT9" s="51"/>
      <c r="YU9" s="51"/>
      <c r="YV9" s="51"/>
      <c r="YW9" s="51"/>
      <c r="YX9" s="51"/>
      <c r="YY9" s="51"/>
      <c r="YZ9" s="51"/>
      <c r="ZA9" s="51"/>
      <c r="ZB9" s="51"/>
      <c r="ZC9" s="51"/>
      <c r="ZD9" s="51"/>
      <c r="ZE9" s="51"/>
      <c r="ZF9" s="51"/>
      <c r="ZG9" s="51"/>
      <c r="ZH9" s="51"/>
      <c r="ZI9" s="51"/>
      <c r="ZJ9" s="51"/>
      <c r="ZK9" s="51"/>
      <c r="ZL9" s="51"/>
      <c r="ZM9" s="51"/>
      <c r="ZN9" s="51"/>
      <c r="ZO9" s="51"/>
      <c r="ZP9" s="51"/>
      <c r="ZQ9" s="51"/>
      <c r="ZR9" s="51"/>
      <c r="ZS9" s="51"/>
      <c r="ZT9" s="51"/>
      <c r="ZU9" s="51"/>
      <c r="ZV9" s="51"/>
      <c r="ZW9" s="51"/>
      <c r="ZX9" s="51"/>
      <c r="ZY9" s="19"/>
    </row>
    <row r="10">
      <c r="A10" s="36"/>
      <c r="B10" s="37" t="s">
        <v>15</v>
      </c>
      <c r="C10" s="38" t="s">
        <v>9</v>
      </c>
      <c r="D10" s="39">
        <v>1380.0</v>
      </c>
      <c r="E10" s="40">
        <v>88.0</v>
      </c>
      <c r="F10" s="41">
        <f t="shared" si="1"/>
        <v>121440</v>
      </c>
      <c r="G10" s="42"/>
      <c r="H10" s="42"/>
      <c r="ZX10" s="18" t="s">
        <v>16</v>
      </c>
      <c r="ZY10" s="19" t="s">
        <v>17</v>
      </c>
    </row>
    <row r="11">
      <c r="A11" s="36"/>
      <c r="B11" s="37" t="s">
        <v>18</v>
      </c>
      <c r="C11" s="38" t="s">
        <v>9</v>
      </c>
      <c r="D11" s="39">
        <v>150.0</v>
      </c>
      <c r="E11" s="40">
        <v>95.0</v>
      </c>
      <c r="F11" s="41">
        <f t="shared" si="1"/>
        <v>14250</v>
      </c>
      <c r="G11" s="42"/>
      <c r="H11" s="42"/>
      <c r="ZY11" s="19"/>
    </row>
    <row r="12">
      <c r="A12" s="52"/>
      <c r="B12" s="53" t="s">
        <v>19</v>
      </c>
      <c r="C12" s="54" t="s">
        <v>20</v>
      </c>
      <c r="D12" s="39">
        <v>71.0</v>
      </c>
      <c r="E12" s="30">
        <v>242.25</v>
      </c>
      <c r="F12" s="41">
        <f t="shared" si="1"/>
        <v>17199.75</v>
      </c>
      <c r="G12" s="55" t="s">
        <v>21</v>
      </c>
      <c r="H12" s="46"/>
      <c r="I12" s="56"/>
      <c r="J12" s="56"/>
      <c r="K12" s="56"/>
      <c r="L12" s="56"/>
      <c r="M12" s="56"/>
      <c r="N12" s="56"/>
      <c r="O12" s="56"/>
      <c r="P12" s="56"/>
      <c r="Q12" s="56"/>
      <c r="R12" s="56"/>
      <c r="S12" s="56"/>
      <c r="T12" s="56"/>
      <c r="U12" s="56"/>
      <c r="V12" s="56"/>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6"/>
      <c r="BC12" s="56"/>
      <c r="BD12" s="56"/>
      <c r="BE12" s="56"/>
      <c r="BF12" s="56"/>
      <c r="BG12" s="56"/>
      <c r="BH12" s="56"/>
      <c r="BI12" s="56"/>
      <c r="BJ12" s="56"/>
      <c r="BK12" s="56"/>
      <c r="BL12" s="56"/>
      <c r="BM12" s="56"/>
      <c r="BN12" s="56"/>
      <c r="BO12" s="56"/>
      <c r="BP12" s="56"/>
      <c r="BQ12" s="56"/>
      <c r="BR12" s="56"/>
      <c r="BS12" s="56"/>
      <c r="BT12" s="56"/>
      <c r="BU12" s="56"/>
      <c r="BV12" s="56"/>
      <c r="BW12" s="56"/>
      <c r="BX12" s="56"/>
      <c r="BY12" s="56"/>
      <c r="BZ12" s="56"/>
      <c r="CA12" s="56"/>
      <c r="CB12" s="56"/>
      <c r="CC12" s="56"/>
      <c r="CD12" s="56"/>
      <c r="CE12" s="56"/>
      <c r="CF12" s="56"/>
      <c r="CG12" s="56"/>
      <c r="CH12" s="56"/>
      <c r="CI12" s="56"/>
      <c r="CJ12" s="56"/>
      <c r="CK12" s="56"/>
      <c r="CL12" s="56"/>
      <c r="CM12" s="56"/>
      <c r="CN12" s="56"/>
      <c r="CO12" s="56"/>
      <c r="CP12" s="56"/>
      <c r="CQ12" s="56"/>
      <c r="CR12" s="56"/>
      <c r="CS12" s="56"/>
      <c r="CT12" s="56"/>
      <c r="CU12" s="56"/>
      <c r="CV12" s="56"/>
      <c r="CW12" s="56"/>
      <c r="CX12" s="56"/>
      <c r="CY12" s="56"/>
      <c r="CZ12" s="56"/>
      <c r="DA12" s="56"/>
      <c r="DB12" s="56"/>
      <c r="DC12" s="56"/>
      <c r="DD12" s="56"/>
      <c r="DE12" s="56"/>
      <c r="DF12" s="56"/>
      <c r="DG12" s="56"/>
      <c r="DH12" s="56"/>
      <c r="DI12" s="56"/>
      <c r="DJ12" s="56"/>
      <c r="DK12" s="56"/>
      <c r="DL12" s="56"/>
      <c r="DM12" s="56"/>
      <c r="DN12" s="56"/>
      <c r="DO12" s="56"/>
      <c r="DP12" s="56"/>
      <c r="DQ12" s="56"/>
      <c r="DR12" s="56"/>
      <c r="DS12" s="56"/>
      <c r="DT12" s="56"/>
      <c r="DU12" s="56"/>
      <c r="DV12" s="56"/>
      <c r="DW12" s="56"/>
      <c r="DX12" s="56"/>
      <c r="DY12" s="56"/>
      <c r="DZ12" s="56"/>
      <c r="EA12" s="56"/>
      <c r="EB12" s="56"/>
      <c r="EC12" s="56"/>
      <c r="ED12" s="56"/>
      <c r="EE12" s="56"/>
      <c r="EF12" s="56"/>
      <c r="EG12" s="56"/>
      <c r="EH12" s="56"/>
      <c r="EI12" s="56"/>
      <c r="EJ12" s="56"/>
      <c r="EK12" s="56"/>
      <c r="EL12" s="56"/>
      <c r="EM12" s="56"/>
      <c r="EN12" s="56"/>
      <c r="EO12" s="56"/>
      <c r="EP12" s="56"/>
      <c r="EQ12" s="56"/>
      <c r="ER12" s="56"/>
      <c r="ES12" s="56"/>
      <c r="ET12" s="56"/>
      <c r="EU12" s="56"/>
      <c r="EV12" s="56"/>
      <c r="EW12" s="56"/>
      <c r="EX12" s="56"/>
      <c r="EY12" s="56"/>
      <c r="EZ12" s="56"/>
      <c r="FA12" s="56"/>
      <c r="FB12" s="56"/>
      <c r="FC12" s="56"/>
      <c r="FD12" s="56"/>
      <c r="FE12" s="56"/>
      <c r="FF12" s="56"/>
      <c r="FG12" s="56"/>
      <c r="FH12" s="56"/>
      <c r="FI12" s="56"/>
      <c r="FJ12" s="56"/>
      <c r="FK12" s="56"/>
      <c r="FL12" s="56"/>
      <c r="FM12" s="56"/>
      <c r="FN12" s="56"/>
      <c r="FO12" s="56"/>
      <c r="FP12" s="56"/>
      <c r="FQ12" s="56"/>
      <c r="FR12" s="56"/>
      <c r="FS12" s="56"/>
      <c r="FT12" s="56"/>
      <c r="FU12" s="56"/>
      <c r="FV12" s="56"/>
      <c r="FW12" s="56"/>
      <c r="FX12" s="56"/>
      <c r="FY12" s="56"/>
      <c r="FZ12" s="56"/>
      <c r="GA12" s="56"/>
      <c r="GB12" s="56"/>
      <c r="GC12" s="56"/>
      <c r="GD12" s="56"/>
      <c r="GE12" s="56"/>
      <c r="GF12" s="56"/>
      <c r="GG12" s="56"/>
      <c r="GH12" s="56"/>
      <c r="GI12" s="56"/>
      <c r="GJ12" s="56"/>
      <c r="GK12" s="56"/>
      <c r="GL12" s="56"/>
      <c r="GM12" s="56"/>
      <c r="GN12" s="56"/>
      <c r="GO12" s="56"/>
      <c r="GP12" s="56"/>
      <c r="GQ12" s="56"/>
      <c r="GR12" s="56"/>
      <c r="GS12" s="56"/>
      <c r="GT12" s="56"/>
      <c r="GU12" s="56"/>
      <c r="GV12" s="56"/>
      <c r="GW12" s="56"/>
      <c r="GX12" s="56"/>
      <c r="GY12" s="56"/>
      <c r="GZ12" s="56"/>
      <c r="HA12" s="56"/>
      <c r="HB12" s="56"/>
      <c r="HC12" s="56"/>
      <c r="HD12" s="56"/>
      <c r="HE12" s="56"/>
      <c r="HF12" s="56"/>
      <c r="HG12" s="56"/>
      <c r="HH12" s="56"/>
      <c r="HI12" s="56"/>
      <c r="HJ12" s="56"/>
      <c r="HK12" s="56"/>
      <c r="HL12" s="56"/>
      <c r="HM12" s="56"/>
      <c r="HN12" s="56"/>
      <c r="HO12" s="56"/>
      <c r="HP12" s="56"/>
      <c r="HQ12" s="56"/>
      <c r="HR12" s="56"/>
      <c r="HS12" s="56"/>
      <c r="HT12" s="56"/>
      <c r="HU12" s="56"/>
      <c r="HV12" s="56"/>
      <c r="HW12" s="56"/>
      <c r="HX12" s="56"/>
      <c r="HY12" s="56"/>
      <c r="HZ12" s="56"/>
      <c r="IA12" s="56"/>
      <c r="IB12" s="56"/>
      <c r="IC12" s="56"/>
      <c r="ID12" s="56"/>
      <c r="IE12" s="56"/>
      <c r="IF12" s="56"/>
      <c r="IG12" s="56"/>
      <c r="IH12" s="56"/>
      <c r="II12" s="56"/>
      <c r="IJ12" s="56"/>
      <c r="IK12" s="56"/>
      <c r="IL12" s="56"/>
      <c r="IM12" s="56"/>
      <c r="IN12" s="56"/>
      <c r="IO12" s="56"/>
      <c r="IP12" s="56"/>
      <c r="IQ12" s="56"/>
      <c r="IR12" s="56"/>
      <c r="IS12" s="56"/>
      <c r="IT12" s="56"/>
      <c r="IU12" s="56"/>
      <c r="IV12" s="56"/>
      <c r="IW12" s="56"/>
      <c r="IX12" s="56"/>
      <c r="IY12" s="56"/>
      <c r="IZ12" s="56"/>
      <c r="JA12" s="56"/>
      <c r="JB12" s="56"/>
      <c r="JC12" s="56"/>
      <c r="JD12" s="56"/>
      <c r="JE12" s="56"/>
      <c r="JF12" s="56"/>
      <c r="JG12" s="56"/>
      <c r="JH12" s="56"/>
      <c r="JI12" s="56"/>
      <c r="JJ12" s="56"/>
      <c r="JK12" s="56"/>
      <c r="JL12" s="56"/>
      <c r="JM12" s="56"/>
      <c r="JN12" s="56"/>
      <c r="JO12" s="56"/>
      <c r="JP12" s="56"/>
      <c r="JQ12" s="56"/>
      <c r="JR12" s="56"/>
      <c r="JS12" s="56"/>
      <c r="JT12" s="56"/>
      <c r="JU12" s="56"/>
      <c r="JV12" s="56"/>
      <c r="JW12" s="56"/>
      <c r="JX12" s="56"/>
      <c r="JY12" s="56"/>
      <c r="JZ12" s="56"/>
      <c r="KA12" s="56"/>
      <c r="KB12" s="56"/>
      <c r="KC12" s="56"/>
      <c r="KD12" s="56"/>
      <c r="KE12" s="56"/>
      <c r="KF12" s="56"/>
      <c r="KG12" s="56"/>
      <c r="KH12" s="56"/>
      <c r="KI12" s="56"/>
      <c r="KJ12" s="56"/>
      <c r="KK12" s="56"/>
      <c r="KL12" s="56"/>
      <c r="KM12" s="56"/>
      <c r="KN12" s="56"/>
      <c r="KO12" s="56"/>
      <c r="KP12" s="56"/>
      <c r="KQ12" s="56"/>
      <c r="KR12" s="56"/>
      <c r="KS12" s="56"/>
      <c r="KT12" s="56"/>
      <c r="KU12" s="56"/>
      <c r="KV12" s="56"/>
      <c r="KW12" s="56"/>
      <c r="KX12" s="56"/>
      <c r="KY12" s="56"/>
      <c r="KZ12" s="56"/>
      <c r="LA12" s="56"/>
      <c r="LB12" s="56"/>
      <c r="LC12" s="56"/>
      <c r="LD12" s="56"/>
      <c r="LE12" s="56"/>
      <c r="LF12" s="56"/>
      <c r="LG12" s="56"/>
      <c r="LH12" s="56"/>
      <c r="LI12" s="56"/>
      <c r="LJ12" s="56"/>
      <c r="LK12" s="56"/>
      <c r="LL12" s="56"/>
      <c r="LM12" s="56"/>
      <c r="LN12" s="56"/>
      <c r="LO12" s="56"/>
      <c r="LP12" s="56"/>
      <c r="LQ12" s="56"/>
      <c r="LR12" s="56"/>
      <c r="LS12" s="56"/>
      <c r="LT12" s="56"/>
      <c r="LU12" s="56"/>
      <c r="LV12" s="56"/>
      <c r="LW12" s="56"/>
      <c r="LX12" s="56"/>
      <c r="LY12" s="56"/>
      <c r="LZ12" s="56"/>
      <c r="MA12" s="56"/>
      <c r="MB12" s="56"/>
      <c r="MC12" s="56"/>
      <c r="MD12" s="56"/>
      <c r="ME12" s="56"/>
      <c r="MF12" s="56"/>
      <c r="MG12" s="56"/>
      <c r="MH12" s="56"/>
      <c r="MI12" s="56"/>
      <c r="MJ12" s="56"/>
      <c r="MK12" s="56"/>
      <c r="ML12" s="56"/>
      <c r="MM12" s="56"/>
      <c r="MN12" s="56"/>
      <c r="MO12" s="56"/>
      <c r="MP12" s="56"/>
      <c r="MQ12" s="56"/>
      <c r="MR12" s="56"/>
      <c r="MS12" s="56"/>
      <c r="MT12" s="56"/>
      <c r="MU12" s="56"/>
      <c r="MV12" s="56"/>
      <c r="MW12" s="56"/>
      <c r="MX12" s="56"/>
      <c r="MY12" s="56"/>
      <c r="MZ12" s="56"/>
      <c r="NA12" s="56"/>
      <c r="NB12" s="56"/>
      <c r="NC12" s="56"/>
      <c r="ND12" s="56"/>
      <c r="NE12" s="56"/>
      <c r="NF12" s="56"/>
      <c r="NG12" s="56"/>
      <c r="NH12" s="56"/>
      <c r="NI12" s="56"/>
      <c r="NJ12" s="56"/>
      <c r="NK12" s="56"/>
      <c r="NL12" s="56"/>
      <c r="NM12" s="56"/>
      <c r="NN12" s="56"/>
      <c r="NO12" s="56"/>
      <c r="NP12" s="56"/>
      <c r="NQ12" s="56"/>
      <c r="NR12" s="56"/>
      <c r="NS12" s="56"/>
      <c r="NT12" s="56"/>
      <c r="NU12" s="56"/>
      <c r="NV12" s="56"/>
      <c r="NW12" s="56"/>
      <c r="NX12" s="56"/>
      <c r="NY12" s="56"/>
      <c r="NZ12" s="56"/>
      <c r="OA12" s="56"/>
      <c r="OB12" s="56"/>
      <c r="OC12" s="56"/>
      <c r="OD12" s="56"/>
      <c r="OE12" s="56"/>
      <c r="OF12" s="56"/>
      <c r="OG12" s="56"/>
      <c r="OH12" s="56"/>
      <c r="OI12" s="56"/>
      <c r="OJ12" s="56"/>
      <c r="OK12" s="56"/>
      <c r="OL12" s="56"/>
      <c r="OM12" s="56"/>
      <c r="ON12" s="56"/>
      <c r="OO12" s="56"/>
      <c r="OP12" s="56"/>
      <c r="OQ12" s="56"/>
      <c r="OR12" s="56"/>
      <c r="OS12" s="56"/>
      <c r="OT12" s="56"/>
      <c r="OU12" s="56"/>
      <c r="OV12" s="56"/>
      <c r="OW12" s="56"/>
      <c r="OX12" s="56"/>
      <c r="OY12" s="56"/>
      <c r="OZ12" s="56"/>
      <c r="PA12" s="56"/>
      <c r="PB12" s="56"/>
      <c r="PC12" s="56"/>
      <c r="PD12" s="56"/>
      <c r="PE12" s="56"/>
      <c r="PF12" s="56"/>
      <c r="PG12" s="56"/>
      <c r="PH12" s="56"/>
      <c r="PI12" s="56"/>
      <c r="PJ12" s="56"/>
      <c r="PK12" s="56"/>
      <c r="PL12" s="56"/>
      <c r="PM12" s="56"/>
      <c r="PN12" s="56"/>
      <c r="PO12" s="56"/>
      <c r="PP12" s="56"/>
      <c r="PQ12" s="56"/>
      <c r="PR12" s="56"/>
      <c r="PS12" s="56"/>
      <c r="PT12" s="56"/>
      <c r="PU12" s="56"/>
      <c r="PV12" s="56"/>
      <c r="PW12" s="56"/>
      <c r="PX12" s="56"/>
      <c r="PY12" s="56"/>
      <c r="PZ12" s="56"/>
      <c r="QA12" s="56"/>
      <c r="QB12" s="56"/>
      <c r="QC12" s="56"/>
      <c r="QD12" s="56"/>
      <c r="QE12" s="56"/>
      <c r="QF12" s="56"/>
      <c r="QG12" s="56"/>
      <c r="QH12" s="56"/>
      <c r="QI12" s="56"/>
      <c r="QJ12" s="56"/>
      <c r="QK12" s="56"/>
      <c r="QL12" s="56"/>
      <c r="QM12" s="56"/>
      <c r="QN12" s="56"/>
      <c r="QO12" s="56"/>
      <c r="QP12" s="56"/>
      <c r="QQ12" s="56"/>
      <c r="QR12" s="56"/>
      <c r="QS12" s="56"/>
      <c r="QT12" s="56"/>
      <c r="QU12" s="56"/>
      <c r="QV12" s="56"/>
      <c r="QW12" s="56"/>
      <c r="QX12" s="56"/>
      <c r="QY12" s="56"/>
      <c r="QZ12" s="56"/>
      <c r="RA12" s="56"/>
      <c r="RB12" s="56"/>
      <c r="RC12" s="56"/>
      <c r="RD12" s="56"/>
      <c r="RE12" s="56"/>
      <c r="RF12" s="56"/>
      <c r="RG12" s="56"/>
      <c r="RH12" s="56"/>
      <c r="RI12" s="56"/>
      <c r="RJ12" s="56"/>
      <c r="RK12" s="56"/>
      <c r="RL12" s="56"/>
      <c r="RM12" s="56"/>
      <c r="RN12" s="56"/>
      <c r="RO12" s="56"/>
      <c r="RP12" s="56"/>
      <c r="RQ12" s="56"/>
      <c r="RR12" s="56"/>
      <c r="RS12" s="56"/>
      <c r="RT12" s="56"/>
      <c r="RU12" s="56"/>
      <c r="RV12" s="56"/>
      <c r="RW12" s="56"/>
      <c r="RX12" s="56"/>
      <c r="RY12" s="56"/>
      <c r="RZ12" s="56"/>
      <c r="SA12" s="56"/>
      <c r="SB12" s="56"/>
      <c r="SC12" s="56"/>
      <c r="SD12" s="56"/>
      <c r="SE12" s="56"/>
      <c r="SF12" s="56"/>
      <c r="SG12" s="56"/>
      <c r="SH12" s="56"/>
      <c r="SI12" s="56"/>
      <c r="SJ12" s="56"/>
      <c r="SK12" s="56"/>
      <c r="SL12" s="56"/>
      <c r="SM12" s="56"/>
      <c r="SN12" s="56"/>
      <c r="SO12" s="56"/>
      <c r="SP12" s="56"/>
      <c r="SQ12" s="56"/>
      <c r="SR12" s="56"/>
      <c r="SS12" s="56"/>
      <c r="ST12" s="56"/>
      <c r="SU12" s="56"/>
      <c r="SV12" s="56"/>
      <c r="SW12" s="56"/>
      <c r="SX12" s="56"/>
      <c r="SY12" s="56"/>
      <c r="SZ12" s="56"/>
      <c r="TA12" s="56"/>
      <c r="TB12" s="56"/>
      <c r="TC12" s="56"/>
      <c r="TD12" s="56"/>
      <c r="TE12" s="56"/>
      <c r="TF12" s="56"/>
      <c r="TG12" s="56"/>
      <c r="TH12" s="56"/>
      <c r="TI12" s="56"/>
      <c r="TJ12" s="56"/>
      <c r="TK12" s="56"/>
      <c r="TL12" s="56"/>
      <c r="TM12" s="56"/>
      <c r="TN12" s="56"/>
      <c r="TO12" s="56"/>
      <c r="TP12" s="56"/>
      <c r="TQ12" s="56"/>
      <c r="TR12" s="56"/>
      <c r="TS12" s="56"/>
      <c r="TT12" s="56"/>
      <c r="TU12" s="56"/>
      <c r="TV12" s="56"/>
      <c r="TW12" s="56"/>
      <c r="TX12" s="56"/>
      <c r="TY12" s="56"/>
      <c r="TZ12" s="56"/>
      <c r="UA12" s="56"/>
      <c r="UB12" s="56"/>
      <c r="UC12" s="56"/>
      <c r="UD12" s="56"/>
      <c r="UE12" s="56"/>
      <c r="UF12" s="56"/>
      <c r="UG12" s="56"/>
      <c r="UH12" s="56"/>
      <c r="UI12" s="56"/>
      <c r="UJ12" s="56"/>
      <c r="UK12" s="56"/>
      <c r="UL12" s="56"/>
      <c r="UM12" s="56"/>
      <c r="UN12" s="56"/>
      <c r="UO12" s="56"/>
      <c r="UP12" s="56"/>
      <c r="UQ12" s="56"/>
      <c r="UR12" s="56"/>
      <c r="US12" s="56"/>
      <c r="UT12" s="56"/>
      <c r="UU12" s="56"/>
      <c r="UV12" s="56"/>
      <c r="UW12" s="56"/>
      <c r="UX12" s="56"/>
      <c r="UY12" s="56"/>
      <c r="UZ12" s="56"/>
      <c r="VA12" s="56"/>
      <c r="VB12" s="56"/>
      <c r="VC12" s="56"/>
      <c r="VD12" s="56"/>
      <c r="VE12" s="56"/>
      <c r="VF12" s="56"/>
      <c r="VG12" s="56"/>
      <c r="VH12" s="56"/>
      <c r="VI12" s="56"/>
      <c r="VJ12" s="56"/>
      <c r="VK12" s="56"/>
      <c r="VL12" s="56"/>
      <c r="VM12" s="56"/>
      <c r="VN12" s="56"/>
      <c r="VO12" s="56"/>
      <c r="VP12" s="56"/>
      <c r="VQ12" s="56"/>
      <c r="VR12" s="56"/>
      <c r="VS12" s="56"/>
      <c r="VT12" s="56"/>
      <c r="VU12" s="56"/>
      <c r="VV12" s="56"/>
      <c r="VW12" s="56"/>
      <c r="VX12" s="56"/>
      <c r="VY12" s="56"/>
      <c r="VZ12" s="56"/>
      <c r="WA12" s="56"/>
      <c r="WB12" s="56"/>
      <c r="WC12" s="56"/>
      <c r="WD12" s="56"/>
      <c r="WE12" s="56"/>
      <c r="WF12" s="56"/>
      <c r="WG12" s="56"/>
      <c r="WH12" s="56"/>
      <c r="WI12" s="56"/>
      <c r="WJ12" s="56"/>
      <c r="WK12" s="56"/>
      <c r="WL12" s="56"/>
      <c r="WM12" s="56"/>
      <c r="WN12" s="56"/>
      <c r="WO12" s="56"/>
      <c r="WP12" s="56"/>
      <c r="WQ12" s="56"/>
      <c r="WR12" s="56"/>
      <c r="WS12" s="56"/>
      <c r="WT12" s="56"/>
      <c r="WU12" s="56"/>
      <c r="WV12" s="56"/>
      <c r="WW12" s="56"/>
      <c r="WX12" s="56"/>
      <c r="WY12" s="56"/>
      <c r="WZ12" s="56"/>
      <c r="XA12" s="56"/>
      <c r="XB12" s="56"/>
      <c r="XC12" s="56"/>
      <c r="XD12" s="56"/>
      <c r="XE12" s="56"/>
      <c r="XF12" s="56"/>
      <c r="XG12" s="56"/>
      <c r="XH12" s="56"/>
      <c r="XI12" s="56"/>
      <c r="XJ12" s="56"/>
      <c r="XK12" s="56"/>
      <c r="XL12" s="56"/>
      <c r="XM12" s="56"/>
      <c r="XN12" s="56"/>
      <c r="XO12" s="56"/>
      <c r="XP12" s="56"/>
      <c r="XQ12" s="56"/>
      <c r="XR12" s="56"/>
      <c r="XS12" s="56"/>
      <c r="XT12" s="56"/>
      <c r="XU12" s="56"/>
      <c r="XV12" s="56"/>
      <c r="XW12" s="56"/>
      <c r="XX12" s="56"/>
      <c r="XY12" s="56"/>
      <c r="XZ12" s="56"/>
      <c r="YA12" s="56"/>
      <c r="YB12" s="56"/>
      <c r="YC12" s="56"/>
      <c r="YD12" s="56"/>
      <c r="YE12" s="56"/>
      <c r="YF12" s="56"/>
      <c r="YG12" s="56"/>
      <c r="YH12" s="56"/>
      <c r="YI12" s="56"/>
      <c r="YJ12" s="56"/>
      <c r="YK12" s="56"/>
      <c r="YL12" s="56"/>
      <c r="YM12" s="56"/>
      <c r="YN12" s="56"/>
      <c r="YO12" s="56"/>
      <c r="YP12" s="56"/>
      <c r="YQ12" s="56"/>
      <c r="YR12" s="56"/>
      <c r="YS12" s="56"/>
      <c r="YT12" s="56"/>
      <c r="YU12" s="56"/>
      <c r="YV12" s="56"/>
      <c r="YW12" s="56"/>
      <c r="YX12" s="56"/>
      <c r="YY12" s="56"/>
      <c r="YZ12" s="56"/>
      <c r="ZA12" s="56"/>
      <c r="ZB12" s="56"/>
      <c r="ZC12" s="56"/>
      <c r="ZD12" s="56"/>
      <c r="ZE12" s="56"/>
      <c r="ZF12" s="56"/>
      <c r="ZG12" s="56"/>
      <c r="ZH12" s="56"/>
      <c r="ZI12" s="56"/>
      <c r="ZJ12" s="56"/>
      <c r="ZK12" s="56"/>
      <c r="ZL12" s="56"/>
      <c r="ZM12" s="56"/>
      <c r="ZN12" s="56"/>
      <c r="ZO12" s="56"/>
      <c r="ZP12" s="56"/>
      <c r="ZQ12" s="56"/>
      <c r="ZR12" s="56"/>
      <c r="ZS12" s="56"/>
      <c r="ZT12" s="56"/>
      <c r="ZU12" s="56"/>
      <c r="ZV12" s="56"/>
      <c r="ZW12" s="56"/>
      <c r="ZX12" s="57" t="s">
        <v>16</v>
      </c>
      <c r="ZY12" s="35" t="s">
        <v>22</v>
      </c>
    </row>
    <row r="13">
      <c r="A13" s="58"/>
      <c r="B13" s="21" t="s">
        <v>23</v>
      </c>
      <c r="C13" s="59"/>
      <c r="D13" s="59"/>
      <c r="E13" s="60"/>
      <c r="F13" s="61"/>
      <c r="ZX13" s="18" t="s">
        <v>24</v>
      </c>
      <c r="ZY13" s="19"/>
    </row>
    <row r="14">
      <c r="A14" s="62"/>
      <c r="B14" s="43" t="s">
        <v>25</v>
      </c>
      <c r="C14" s="38" t="s">
        <v>9</v>
      </c>
      <c r="D14" s="63">
        <v>1450.0</v>
      </c>
      <c r="E14" s="40">
        <v>42.0</v>
      </c>
      <c r="F14" s="41">
        <f t="shared" ref="F14:F17" si="2">ROUND(D14*E14,2)</f>
        <v>60900</v>
      </c>
      <c r="G14" s="64" t="s">
        <v>26</v>
      </c>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c r="DA14" s="47"/>
      <c r="DB14" s="47"/>
      <c r="DC14" s="47"/>
      <c r="DD14" s="47"/>
      <c r="DE14" s="47"/>
      <c r="DF14" s="47"/>
      <c r="DG14" s="47"/>
      <c r="DH14" s="47"/>
      <c r="DI14" s="47"/>
      <c r="DJ14" s="47"/>
      <c r="DK14" s="47"/>
      <c r="DL14" s="47"/>
      <c r="DM14" s="47"/>
      <c r="DN14" s="47"/>
      <c r="DO14" s="47"/>
      <c r="DP14" s="47"/>
      <c r="DQ14" s="47"/>
      <c r="DR14" s="47"/>
      <c r="DS14" s="47"/>
      <c r="DT14" s="47"/>
      <c r="DU14" s="47"/>
      <c r="DV14" s="47"/>
      <c r="DW14" s="47"/>
      <c r="DX14" s="47"/>
      <c r="DY14" s="47"/>
      <c r="DZ14" s="47"/>
      <c r="EA14" s="47"/>
      <c r="EB14" s="47"/>
      <c r="EC14" s="47"/>
      <c r="ED14" s="47"/>
      <c r="EE14" s="47"/>
      <c r="EF14" s="47"/>
      <c r="EG14" s="47"/>
      <c r="EH14" s="47"/>
      <c r="EI14" s="47"/>
      <c r="EJ14" s="47"/>
      <c r="EK14" s="47"/>
      <c r="EL14" s="47"/>
      <c r="EM14" s="47"/>
      <c r="EN14" s="47"/>
      <c r="EO14" s="47"/>
      <c r="EP14" s="47"/>
      <c r="EQ14" s="47"/>
      <c r="ER14" s="47"/>
      <c r="ES14" s="47"/>
      <c r="ET14" s="47"/>
      <c r="EU14" s="47"/>
      <c r="EV14" s="47"/>
      <c r="EW14" s="47"/>
      <c r="EX14" s="47"/>
      <c r="EY14" s="47"/>
      <c r="EZ14" s="47"/>
      <c r="FA14" s="47"/>
      <c r="FB14" s="47"/>
      <c r="FC14" s="47"/>
      <c r="FD14" s="47"/>
      <c r="FE14" s="47"/>
      <c r="FF14" s="47"/>
      <c r="FG14" s="47"/>
      <c r="FH14" s="47"/>
      <c r="FI14" s="47"/>
      <c r="FJ14" s="47"/>
      <c r="FK14" s="47"/>
      <c r="FL14" s="47"/>
      <c r="FM14" s="47"/>
      <c r="FN14" s="47"/>
      <c r="FO14" s="47"/>
      <c r="FP14" s="47"/>
      <c r="FQ14" s="47"/>
      <c r="FR14" s="47"/>
      <c r="FS14" s="47"/>
      <c r="FT14" s="47"/>
      <c r="FU14" s="47"/>
      <c r="FV14" s="47"/>
      <c r="FW14" s="47"/>
      <c r="FX14" s="47"/>
      <c r="FY14" s="47"/>
      <c r="FZ14" s="47"/>
      <c r="GA14" s="47"/>
      <c r="GB14" s="47"/>
      <c r="GC14" s="47"/>
      <c r="GD14" s="47"/>
      <c r="GE14" s="47"/>
      <c r="GF14" s="47"/>
      <c r="GG14" s="47"/>
      <c r="GH14" s="47"/>
      <c r="GI14" s="47"/>
      <c r="GJ14" s="47"/>
      <c r="GK14" s="47"/>
      <c r="GL14" s="47"/>
      <c r="GM14" s="47"/>
      <c r="GN14" s="47"/>
      <c r="GO14" s="47"/>
      <c r="GP14" s="47"/>
      <c r="GQ14" s="47"/>
      <c r="GR14" s="47"/>
      <c r="GS14" s="47"/>
      <c r="GT14" s="47"/>
      <c r="GU14" s="47"/>
      <c r="GV14" s="47"/>
      <c r="GW14" s="47"/>
      <c r="GX14" s="47"/>
      <c r="GY14" s="47"/>
      <c r="GZ14" s="47"/>
      <c r="HA14" s="47"/>
      <c r="HB14" s="47"/>
      <c r="HC14" s="47"/>
      <c r="HD14" s="47"/>
      <c r="HE14" s="47"/>
      <c r="HF14" s="47"/>
      <c r="HG14" s="47"/>
      <c r="HH14" s="47"/>
      <c r="HI14" s="47"/>
      <c r="HJ14" s="47"/>
      <c r="HK14" s="47"/>
      <c r="HL14" s="47"/>
      <c r="HM14" s="47"/>
      <c r="HN14" s="47"/>
      <c r="HO14" s="47"/>
      <c r="HP14" s="47"/>
      <c r="HQ14" s="47"/>
      <c r="HR14" s="47"/>
      <c r="HS14" s="47"/>
      <c r="HT14" s="47"/>
      <c r="HU14" s="47"/>
      <c r="HV14" s="47"/>
      <c r="HW14" s="47"/>
      <c r="HX14" s="47"/>
      <c r="HY14" s="47"/>
      <c r="HZ14" s="47"/>
      <c r="IA14" s="47"/>
      <c r="IB14" s="47"/>
      <c r="IC14" s="47"/>
      <c r="ID14" s="47"/>
      <c r="IE14" s="47"/>
      <c r="IF14" s="47"/>
      <c r="IG14" s="47"/>
      <c r="IH14" s="47"/>
      <c r="II14" s="47"/>
      <c r="IJ14" s="47"/>
      <c r="IK14" s="47"/>
      <c r="IL14" s="47"/>
      <c r="IM14" s="47"/>
      <c r="IN14" s="47"/>
      <c r="IO14" s="47"/>
      <c r="IP14" s="47"/>
      <c r="IQ14" s="47"/>
      <c r="IR14" s="47"/>
      <c r="IS14" s="47"/>
      <c r="IT14" s="47"/>
      <c r="IU14" s="47"/>
      <c r="IV14" s="47"/>
      <c r="IW14" s="47"/>
      <c r="IX14" s="47"/>
      <c r="IY14" s="47"/>
      <c r="IZ14" s="47"/>
      <c r="JA14" s="47"/>
      <c r="JB14" s="47"/>
      <c r="JC14" s="47"/>
      <c r="JD14" s="47"/>
      <c r="JE14" s="47"/>
      <c r="JF14" s="47"/>
      <c r="JG14" s="47"/>
      <c r="JH14" s="47"/>
      <c r="JI14" s="47"/>
      <c r="JJ14" s="47"/>
      <c r="JK14" s="47"/>
      <c r="JL14" s="47"/>
      <c r="JM14" s="47"/>
      <c r="JN14" s="47"/>
      <c r="JO14" s="47"/>
      <c r="JP14" s="47"/>
      <c r="JQ14" s="47"/>
      <c r="JR14" s="47"/>
      <c r="JS14" s="47"/>
      <c r="JT14" s="47"/>
      <c r="JU14" s="47"/>
      <c r="JV14" s="47"/>
      <c r="JW14" s="47"/>
      <c r="JX14" s="47"/>
      <c r="JY14" s="47"/>
      <c r="JZ14" s="47"/>
      <c r="KA14" s="47"/>
      <c r="KB14" s="47"/>
      <c r="KC14" s="47"/>
      <c r="KD14" s="47"/>
      <c r="KE14" s="47"/>
      <c r="KF14" s="47"/>
      <c r="KG14" s="47"/>
      <c r="KH14" s="47"/>
      <c r="KI14" s="47"/>
      <c r="KJ14" s="47"/>
      <c r="KK14" s="47"/>
      <c r="KL14" s="47"/>
      <c r="KM14" s="47"/>
      <c r="KN14" s="47"/>
      <c r="KO14" s="47"/>
      <c r="KP14" s="47"/>
      <c r="KQ14" s="47"/>
      <c r="KR14" s="47"/>
      <c r="KS14" s="47"/>
      <c r="KT14" s="47"/>
      <c r="KU14" s="47"/>
      <c r="KV14" s="47"/>
      <c r="KW14" s="47"/>
      <c r="KX14" s="47"/>
      <c r="KY14" s="47"/>
      <c r="KZ14" s="47"/>
      <c r="LA14" s="47"/>
      <c r="LB14" s="47"/>
      <c r="LC14" s="47"/>
      <c r="LD14" s="47"/>
      <c r="LE14" s="47"/>
      <c r="LF14" s="47"/>
      <c r="LG14" s="47"/>
      <c r="LH14" s="47"/>
      <c r="LI14" s="47"/>
      <c r="LJ14" s="47"/>
      <c r="LK14" s="47"/>
      <c r="LL14" s="47"/>
      <c r="LM14" s="47"/>
      <c r="LN14" s="47"/>
      <c r="LO14" s="47"/>
      <c r="LP14" s="47"/>
      <c r="LQ14" s="47"/>
      <c r="LR14" s="47"/>
      <c r="LS14" s="47"/>
      <c r="LT14" s="47"/>
      <c r="LU14" s="47"/>
      <c r="LV14" s="47"/>
      <c r="LW14" s="47"/>
      <c r="LX14" s="47"/>
      <c r="LY14" s="47"/>
      <c r="LZ14" s="47"/>
      <c r="MA14" s="47"/>
      <c r="MB14" s="47"/>
      <c r="MC14" s="47"/>
      <c r="MD14" s="47"/>
      <c r="ME14" s="47"/>
      <c r="MF14" s="47"/>
      <c r="MG14" s="47"/>
      <c r="MH14" s="47"/>
      <c r="MI14" s="47"/>
      <c r="MJ14" s="47"/>
      <c r="MK14" s="47"/>
      <c r="ML14" s="47"/>
      <c r="MM14" s="47"/>
      <c r="MN14" s="47"/>
      <c r="MO14" s="47"/>
      <c r="MP14" s="47"/>
      <c r="MQ14" s="47"/>
      <c r="MR14" s="47"/>
      <c r="MS14" s="47"/>
      <c r="MT14" s="47"/>
      <c r="MU14" s="47"/>
      <c r="MV14" s="47"/>
      <c r="MW14" s="47"/>
      <c r="MX14" s="47"/>
      <c r="MY14" s="47"/>
      <c r="MZ14" s="47"/>
      <c r="NA14" s="47"/>
      <c r="NB14" s="47"/>
      <c r="NC14" s="47"/>
      <c r="ND14" s="47"/>
      <c r="NE14" s="47"/>
      <c r="NF14" s="47"/>
      <c r="NG14" s="47"/>
      <c r="NH14" s="47"/>
      <c r="NI14" s="47"/>
      <c r="NJ14" s="47"/>
      <c r="NK14" s="47"/>
      <c r="NL14" s="47"/>
      <c r="NM14" s="47"/>
      <c r="NN14" s="47"/>
      <c r="NO14" s="47"/>
      <c r="NP14" s="47"/>
      <c r="NQ14" s="47"/>
      <c r="NR14" s="47"/>
      <c r="NS14" s="47"/>
      <c r="NT14" s="47"/>
      <c r="NU14" s="47"/>
      <c r="NV14" s="47"/>
      <c r="NW14" s="47"/>
      <c r="NX14" s="47"/>
      <c r="NY14" s="47"/>
      <c r="NZ14" s="47"/>
      <c r="OA14" s="47"/>
      <c r="OB14" s="47"/>
      <c r="OC14" s="47"/>
      <c r="OD14" s="47"/>
      <c r="OE14" s="47"/>
      <c r="OF14" s="47"/>
      <c r="OG14" s="47"/>
      <c r="OH14" s="47"/>
      <c r="OI14" s="47"/>
      <c r="OJ14" s="47"/>
      <c r="OK14" s="47"/>
      <c r="OL14" s="47"/>
      <c r="OM14" s="47"/>
      <c r="ON14" s="47"/>
      <c r="OO14" s="47"/>
      <c r="OP14" s="47"/>
      <c r="OQ14" s="47"/>
      <c r="OR14" s="47"/>
      <c r="OS14" s="47"/>
      <c r="OT14" s="47"/>
      <c r="OU14" s="47"/>
      <c r="OV14" s="47"/>
      <c r="OW14" s="47"/>
      <c r="OX14" s="47"/>
      <c r="OY14" s="47"/>
      <c r="OZ14" s="47"/>
      <c r="PA14" s="47"/>
      <c r="PB14" s="47"/>
      <c r="PC14" s="47"/>
      <c r="PD14" s="47"/>
      <c r="PE14" s="47"/>
      <c r="PF14" s="47"/>
      <c r="PG14" s="47"/>
      <c r="PH14" s="47"/>
      <c r="PI14" s="47"/>
      <c r="PJ14" s="47"/>
      <c r="PK14" s="47"/>
      <c r="PL14" s="47"/>
      <c r="PM14" s="47"/>
      <c r="PN14" s="47"/>
      <c r="PO14" s="47"/>
      <c r="PP14" s="47"/>
      <c r="PQ14" s="47"/>
      <c r="PR14" s="47"/>
      <c r="PS14" s="47"/>
      <c r="PT14" s="47"/>
      <c r="PU14" s="47"/>
      <c r="PV14" s="47"/>
      <c r="PW14" s="47"/>
      <c r="PX14" s="47"/>
      <c r="PY14" s="47"/>
      <c r="PZ14" s="47"/>
      <c r="QA14" s="47"/>
      <c r="QB14" s="47"/>
      <c r="QC14" s="47"/>
      <c r="QD14" s="47"/>
      <c r="QE14" s="47"/>
      <c r="QF14" s="47"/>
      <c r="QG14" s="47"/>
      <c r="QH14" s="47"/>
      <c r="QI14" s="47"/>
      <c r="QJ14" s="47"/>
      <c r="QK14" s="47"/>
      <c r="QL14" s="47"/>
      <c r="QM14" s="47"/>
      <c r="QN14" s="47"/>
      <c r="QO14" s="47"/>
      <c r="QP14" s="47"/>
      <c r="QQ14" s="47"/>
      <c r="QR14" s="47"/>
      <c r="QS14" s="47"/>
      <c r="QT14" s="47"/>
      <c r="QU14" s="47"/>
      <c r="QV14" s="47"/>
      <c r="QW14" s="47"/>
      <c r="QX14" s="47"/>
      <c r="QY14" s="47"/>
      <c r="QZ14" s="47"/>
      <c r="RA14" s="47"/>
      <c r="RB14" s="47"/>
      <c r="RC14" s="47"/>
      <c r="RD14" s="47"/>
      <c r="RE14" s="47"/>
      <c r="RF14" s="47"/>
      <c r="RG14" s="47"/>
      <c r="RH14" s="47"/>
      <c r="RI14" s="47"/>
      <c r="RJ14" s="47"/>
      <c r="RK14" s="47"/>
      <c r="RL14" s="47"/>
      <c r="RM14" s="47"/>
      <c r="RN14" s="47"/>
      <c r="RO14" s="47"/>
      <c r="RP14" s="47"/>
      <c r="RQ14" s="47"/>
      <c r="RR14" s="47"/>
      <c r="RS14" s="47"/>
      <c r="RT14" s="47"/>
      <c r="RU14" s="47"/>
      <c r="RV14" s="47"/>
      <c r="RW14" s="47"/>
      <c r="RX14" s="47"/>
      <c r="RY14" s="47"/>
      <c r="RZ14" s="47"/>
      <c r="SA14" s="47"/>
      <c r="SB14" s="47"/>
      <c r="SC14" s="47"/>
      <c r="SD14" s="47"/>
      <c r="SE14" s="47"/>
      <c r="SF14" s="47"/>
      <c r="SG14" s="47"/>
      <c r="SH14" s="47"/>
      <c r="SI14" s="47"/>
      <c r="SJ14" s="47"/>
      <c r="SK14" s="47"/>
      <c r="SL14" s="47"/>
      <c r="SM14" s="47"/>
      <c r="SN14" s="47"/>
      <c r="SO14" s="47"/>
      <c r="SP14" s="47"/>
      <c r="SQ14" s="47"/>
      <c r="SR14" s="47"/>
      <c r="SS14" s="47"/>
      <c r="ST14" s="47"/>
      <c r="SU14" s="47"/>
      <c r="SV14" s="47"/>
      <c r="SW14" s="47"/>
      <c r="SX14" s="47"/>
      <c r="SY14" s="47"/>
      <c r="SZ14" s="47"/>
      <c r="TA14" s="47"/>
      <c r="TB14" s="47"/>
      <c r="TC14" s="47"/>
      <c r="TD14" s="47"/>
      <c r="TE14" s="47"/>
      <c r="TF14" s="47"/>
      <c r="TG14" s="47"/>
      <c r="TH14" s="47"/>
      <c r="TI14" s="47"/>
      <c r="TJ14" s="47"/>
      <c r="TK14" s="47"/>
      <c r="TL14" s="47"/>
      <c r="TM14" s="47"/>
      <c r="TN14" s="47"/>
      <c r="TO14" s="47"/>
      <c r="TP14" s="47"/>
      <c r="TQ14" s="47"/>
      <c r="TR14" s="47"/>
      <c r="TS14" s="47"/>
      <c r="TT14" s="47"/>
      <c r="TU14" s="47"/>
      <c r="TV14" s="47"/>
      <c r="TW14" s="47"/>
      <c r="TX14" s="47"/>
      <c r="TY14" s="47"/>
      <c r="TZ14" s="47"/>
      <c r="UA14" s="47"/>
      <c r="UB14" s="47"/>
      <c r="UC14" s="47"/>
      <c r="UD14" s="47"/>
      <c r="UE14" s="47"/>
      <c r="UF14" s="47"/>
      <c r="UG14" s="47"/>
      <c r="UH14" s="47"/>
      <c r="UI14" s="47"/>
      <c r="UJ14" s="47"/>
      <c r="UK14" s="47"/>
      <c r="UL14" s="47"/>
      <c r="UM14" s="47"/>
      <c r="UN14" s="47"/>
      <c r="UO14" s="47"/>
      <c r="UP14" s="47"/>
      <c r="UQ14" s="47"/>
      <c r="UR14" s="47"/>
      <c r="US14" s="47"/>
      <c r="UT14" s="47"/>
      <c r="UU14" s="47"/>
      <c r="UV14" s="47"/>
      <c r="UW14" s="47"/>
      <c r="UX14" s="47"/>
      <c r="UY14" s="47"/>
      <c r="UZ14" s="47"/>
      <c r="VA14" s="47"/>
      <c r="VB14" s="47"/>
      <c r="VC14" s="47"/>
      <c r="VD14" s="47"/>
      <c r="VE14" s="47"/>
      <c r="VF14" s="47"/>
      <c r="VG14" s="47"/>
      <c r="VH14" s="47"/>
      <c r="VI14" s="47"/>
      <c r="VJ14" s="47"/>
      <c r="VK14" s="47"/>
      <c r="VL14" s="47"/>
      <c r="VM14" s="47"/>
      <c r="VN14" s="47"/>
      <c r="VO14" s="47"/>
      <c r="VP14" s="47"/>
      <c r="VQ14" s="47"/>
      <c r="VR14" s="47"/>
      <c r="VS14" s="47"/>
      <c r="VT14" s="47"/>
      <c r="VU14" s="47"/>
      <c r="VV14" s="47"/>
      <c r="VW14" s="47"/>
      <c r="VX14" s="47"/>
      <c r="VY14" s="47"/>
      <c r="VZ14" s="47"/>
      <c r="WA14" s="47"/>
      <c r="WB14" s="47"/>
      <c r="WC14" s="47"/>
      <c r="WD14" s="47"/>
      <c r="WE14" s="47"/>
      <c r="WF14" s="47"/>
      <c r="WG14" s="47"/>
      <c r="WH14" s="47"/>
      <c r="WI14" s="47"/>
      <c r="WJ14" s="47"/>
      <c r="WK14" s="47"/>
      <c r="WL14" s="47"/>
      <c r="WM14" s="47"/>
      <c r="WN14" s="47"/>
      <c r="WO14" s="47"/>
      <c r="WP14" s="47"/>
      <c r="WQ14" s="47"/>
      <c r="WR14" s="47"/>
      <c r="WS14" s="47"/>
      <c r="WT14" s="47"/>
      <c r="WU14" s="47"/>
      <c r="WV14" s="47"/>
      <c r="WW14" s="47"/>
      <c r="WX14" s="47"/>
      <c r="WY14" s="47"/>
      <c r="WZ14" s="47"/>
      <c r="XA14" s="47"/>
      <c r="XB14" s="47"/>
      <c r="XC14" s="47"/>
      <c r="XD14" s="47"/>
      <c r="XE14" s="47"/>
      <c r="XF14" s="47"/>
      <c r="XG14" s="47"/>
      <c r="XH14" s="47"/>
      <c r="XI14" s="47"/>
      <c r="XJ14" s="47"/>
      <c r="XK14" s="47"/>
      <c r="XL14" s="47"/>
      <c r="XM14" s="47"/>
      <c r="XN14" s="47"/>
      <c r="XO14" s="47"/>
      <c r="XP14" s="47"/>
      <c r="XQ14" s="47"/>
      <c r="XR14" s="47"/>
      <c r="XS14" s="47"/>
      <c r="XT14" s="47"/>
      <c r="XU14" s="47"/>
      <c r="XV14" s="47"/>
      <c r="XW14" s="47"/>
      <c r="XX14" s="47"/>
      <c r="XY14" s="47"/>
      <c r="XZ14" s="47"/>
      <c r="YA14" s="47"/>
      <c r="YB14" s="47"/>
      <c r="YC14" s="47"/>
      <c r="YD14" s="47"/>
      <c r="YE14" s="47"/>
      <c r="YF14" s="47"/>
      <c r="YG14" s="47"/>
      <c r="YH14" s="47"/>
      <c r="YI14" s="47"/>
      <c r="YJ14" s="47"/>
      <c r="YK14" s="47"/>
      <c r="YL14" s="47"/>
      <c r="YM14" s="47"/>
      <c r="YN14" s="47"/>
      <c r="YO14" s="47"/>
      <c r="YP14" s="47"/>
      <c r="YQ14" s="47"/>
      <c r="YR14" s="47"/>
      <c r="YS14" s="47"/>
      <c r="YT14" s="47"/>
      <c r="YU14" s="47"/>
      <c r="YV14" s="47"/>
      <c r="YW14" s="47"/>
      <c r="YX14" s="47"/>
      <c r="YY14" s="47"/>
      <c r="YZ14" s="47"/>
      <c r="ZA14" s="47"/>
      <c r="ZB14" s="47"/>
      <c r="ZC14" s="47"/>
      <c r="ZD14" s="47"/>
      <c r="ZE14" s="47"/>
      <c r="ZF14" s="47"/>
      <c r="ZG14" s="47"/>
      <c r="ZH14" s="47"/>
      <c r="ZI14" s="47"/>
      <c r="ZJ14" s="47"/>
      <c r="ZK14" s="47"/>
      <c r="ZL14" s="47"/>
      <c r="ZM14" s="47"/>
      <c r="ZN14" s="47"/>
      <c r="ZO14" s="47"/>
      <c r="ZP14" s="47"/>
      <c r="ZQ14" s="47"/>
      <c r="ZR14" s="47"/>
      <c r="ZS14" s="47"/>
      <c r="ZT14" s="47"/>
      <c r="ZU14" s="47"/>
      <c r="ZV14" s="47"/>
      <c r="ZW14" s="47"/>
      <c r="ZX14" s="65" t="s">
        <v>24</v>
      </c>
      <c r="ZY14" s="35"/>
    </row>
    <row r="15">
      <c r="A15" s="66"/>
      <c r="B15" s="67" t="s">
        <v>27</v>
      </c>
      <c r="C15" s="38" t="s">
        <v>9</v>
      </c>
      <c r="D15" s="39">
        <v>600.0</v>
      </c>
      <c r="E15" s="40">
        <v>38.0</v>
      </c>
      <c r="F15" s="41">
        <f t="shared" si="2"/>
        <v>22800</v>
      </c>
      <c r="G15" s="68" t="s">
        <v>28</v>
      </c>
      <c r="ZX15" s="18" t="s">
        <v>16</v>
      </c>
      <c r="ZY15" s="19" t="s">
        <v>29</v>
      </c>
    </row>
    <row r="16">
      <c r="A16" s="66"/>
      <c r="B16" s="69" t="s">
        <v>30</v>
      </c>
      <c r="C16" s="38" t="s">
        <v>31</v>
      </c>
      <c r="D16" s="39">
        <v>1.0</v>
      </c>
      <c r="E16" s="40">
        <v>4500.0</v>
      </c>
      <c r="F16" s="41">
        <f t="shared" si="2"/>
        <v>4500</v>
      </c>
      <c r="ZX16" s="18"/>
      <c r="ZY16" s="19"/>
    </row>
    <row r="17">
      <c r="A17" s="66"/>
      <c r="B17" s="69" t="s">
        <v>32</v>
      </c>
      <c r="C17" s="38" t="s">
        <v>9</v>
      </c>
      <c r="D17" s="39">
        <v>4610.0</v>
      </c>
      <c r="E17" s="40">
        <v>6.5</v>
      </c>
      <c r="F17" s="41">
        <f t="shared" si="2"/>
        <v>29965</v>
      </c>
      <c r="G17" s="70" t="s">
        <v>33</v>
      </c>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c r="BR17" s="42"/>
      <c r="BS17" s="42"/>
      <c r="BT17" s="42"/>
      <c r="BU17" s="42"/>
      <c r="BV17" s="42"/>
      <c r="BW17" s="42"/>
      <c r="BX17" s="42"/>
      <c r="BY17" s="42"/>
      <c r="BZ17" s="42"/>
      <c r="CA17" s="42"/>
      <c r="CB17" s="42"/>
      <c r="CC17" s="42"/>
      <c r="CD17" s="42"/>
      <c r="CE17" s="42"/>
      <c r="CF17" s="42"/>
      <c r="CG17" s="42"/>
      <c r="CH17" s="42"/>
      <c r="CI17" s="42"/>
      <c r="CJ17" s="42"/>
      <c r="CK17" s="42"/>
      <c r="CL17" s="42"/>
      <c r="CM17" s="42"/>
      <c r="CN17" s="42"/>
      <c r="CO17" s="42"/>
      <c r="CP17" s="42"/>
      <c r="CQ17" s="42"/>
      <c r="CR17" s="42"/>
      <c r="CS17" s="42"/>
      <c r="CT17" s="42"/>
      <c r="CU17" s="42"/>
      <c r="CV17" s="42"/>
      <c r="CW17" s="42"/>
      <c r="CX17" s="42"/>
      <c r="CY17" s="42"/>
      <c r="CZ17" s="42"/>
      <c r="DA17" s="42"/>
      <c r="DB17" s="42"/>
      <c r="DC17" s="42"/>
      <c r="DD17" s="42"/>
      <c r="DE17" s="42"/>
      <c r="DF17" s="42"/>
      <c r="DG17" s="42"/>
      <c r="DH17" s="42"/>
      <c r="DI17" s="42"/>
      <c r="DJ17" s="42"/>
      <c r="DK17" s="42"/>
      <c r="DL17" s="42"/>
      <c r="DM17" s="42"/>
      <c r="DN17" s="42"/>
      <c r="DO17" s="42"/>
      <c r="DP17" s="42"/>
      <c r="DQ17" s="42"/>
      <c r="DR17" s="42"/>
      <c r="DS17" s="42"/>
      <c r="DT17" s="42"/>
      <c r="DU17" s="42"/>
      <c r="DV17" s="42"/>
      <c r="DW17" s="42"/>
      <c r="DX17" s="42"/>
      <c r="DY17" s="42"/>
      <c r="DZ17" s="42"/>
      <c r="EA17" s="42"/>
      <c r="EB17" s="42"/>
      <c r="EC17" s="42"/>
      <c r="ED17" s="42"/>
      <c r="EE17" s="42"/>
      <c r="EF17" s="42"/>
      <c r="EG17" s="42"/>
      <c r="EH17" s="42"/>
      <c r="EI17" s="42"/>
      <c r="EJ17" s="42"/>
      <c r="EK17" s="42"/>
      <c r="EL17" s="42"/>
      <c r="EM17" s="42"/>
      <c r="EN17" s="42"/>
      <c r="EO17" s="42"/>
      <c r="EP17" s="42"/>
      <c r="EQ17" s="42"/>
      <c r="ER17" s="42"/>
      <c r="ES17" s="42"/>
      <c r="ET17" s="42"/>
      <c r="EU17" s="42"/>
      <c r="EV17" s="42"/>
      <c r="EW17" s="42"/>
      <c r="EX17" s="42"/>
      <c r="EY17" s="42"/>
      <c r="EZ17" s="42"/>
      <c r="FA17" s="42"/>
      <c r="FB17" s="42"/>
      <c r="FC17" s="42"/>
      <c r="FD17" s="42"/>
      <c r="FE17" s="42"/>
      <c r="FF17" s="42"/>
      <c r="FG17" s="42"/>
      <c r="FH17" s="42"/>
      <c r="FI17" s="42"/>
      <c r="FJ17" s="42"/>
      <c r="FK17" s="42"/>
      <c r="FL17" s="42"/>
      <c r="FM17" s="42"/>
      <c r="FN17" s="42"/>
      <c r="FO17" s="42"/>
      <c r="FP17" s="42"/>
      <c r="FQ17" s="42"/>
      <c r="FR17" s="42"/>
      <c r="FS17" s="42"/>
      <c r="FT17" s="42"/>
      <c r="FU17" s="42"/>
      <c r="FV17" s="42"/>
      <c r="FW17" s="42"/>
      <c r="FX17" s="42"/>
      <c r="FY17" s="42"/>
      <c r="FZ17" s="42"/>
      <c r="GA17" s="42"/>
      <c r="GB17" s="42"/>
      <c r="GC17" s="42"/>
      <c r="GD17" s="42"/>
      <c r="GE17" s="42"/>
      <c r="GF17" s="42"/>
      <c r="GG17" s="42"/>
      <c r="GH17" s="42"/>
      <c r="GI17" s="42"/>
      <c r="GJ17" s="42"/>
      <c r="GK17" s="42"/>
      <c r="GL17" s="42"/>
      <c r="GM17" s="42"/>
      <c r="GN17" s="42"/>
      <c r="GO17" s="42"/>
      <c r="GP17" s="42"/>
      <c r="GQ17" s="42"/>
      <c r="GR17" s="42"/>
      <c r="GS17" s="42"/>
      <c r="GT17" s="42"/>
      <c r="GU17" s="42"/>
      <c r="GV17" s="42"/>
      <c r="GW17" s="42"/>
      <c r="GX17" s="42"/>
      <c r="GY17" s="42"/>
      <c r="GZ17" s="42"/>
      <c r="HA17" s="42"/>
      <c r="HB17" s="42"/>
      <c r="HC17" s="42"/>
      <c r="HD17" s="42"/>
      <c r="HE17" s="42"/>
      <c r="HF17" s="42"/>
      <c r="HG17" s="42"/>
      <c r="HH17" s="42"/>
      <c r="HI17" s="42"/>
      <c r="HJ17" s="42"/>
      <c r="HK17" s="42"/>
      <c r="HL17" s="42"/>
      <c r="HM17" s="42"/>
      <c r="HN17" s="42"/>
      <c r="HO17" s="42"/>
      <c r="HP17" s="42"/>
      <c r="HQ17" s="42"/>
      <c r="HR17" s="42"/>
      <c r="HS17" s="42"/>
      <c r="HT17" s="42"/>
      <c r="HU17" s="42"/>
      <c r="HV17" s="42"/>
      <c r="HW17" s="42"/>
      <c r="HX17" s="42"/>
      <c r="HY17" s="42"/>
      <c r="HZ17" s="42"/>
      <c r="IA17" s="42"/>
      <c r="IB17" s="42"/>
      <c r="IC17" s="42"/>
      <c r="ID17" s="42"/>
      <c r="IE17" s="42"/>
      <c r="IF17" s="42"/>
      <c r="IG17" s="42"/>
      <c r="IH17" s="42"/>
      <c r="II17" s="42"/>
      <c r="IJ17" s="42"/>
      <c r="IK17" s="42"/>
      <c r="IL17" s="42"/>
      <c r="IM17" s="42"/>
      <c r="IN17" s="42"/>
      <c r="IO17" s="42"/>
      <c r="IP17" s="42"/>
      <c r="IQ17" s="42"/>
      <c r="IR17" s="42"/>
      <c r="IS17" s="42"/>
      <c r="IT17" s="42"/>
      <c r="IU17" s="42"/>
      <c r="IV17" s="42"/>
      <c r="IW17" s="42"/>
      <c r="IX17" s="42"/>
      <c r="IY17" s="42"/>
      <c r="IZ17" s="42"/>
      <c r="JA17" s="42"/>
      <c r="JB17" s="42"/>
      <c r="JC17" s="42"/>
      <c r="JD17" s="42"/>
      <c r="JE17" s="42"/>
      <c r="JF17" s="42"/>
      <c r="JG17" s="42"/>
      <c r="JH17" s="42"/>
      <c r="JI17" s="42"/>
      <c r="JJ17" s="42"/>
      <c r="JK17" s="42"/>
      <c r="JL17" s="42"/>
      <c r="JM17" s="42"/>
      <c r="JN17" s="42"/>
      <c r="JO17" s="42"/>
      <c r="JP17" s="42"/>
      <c r="JQ17" s="42"/>
      <c r="JR17" s="42"/>
      <c r="JS17" s="42"/>
      <c r="JT17" s="42"/>
      <c r="JU17" s="42"/>
      <c r="JV17" s="42"/>
      <c r="JW17" s="42"/>
      <c r="JX17" s="42"/>
      <c r="JY17" s="42"/>
      <c r="JZ17" s="42"/>
      <c r="KA17" s="42"/>
      <c r="KB17" s="42"/>
      <c r="KC17" s="42"/>
      <c r="KD17" s="42"/>
      <c r="KE17" s="42"/>
      <c r="KF17" s="42"/>
      <c r="KG17" s="42"/>
      <c r="KH17" s="42"/>
      <c r="KI17" s="42"/>
      <c r="KJ17" s="42"/>
      <c r="KK17" s="42"/>
      <c r="KL17" s="42"/>
      <c r="KM17" s="42"/>
      <c r="KN17" s="42"/>
      <c r="KO17" s="42"/>
      <c r="KP17" s="42"/>
      <c r="KQ17" s="42"/>
      <c r="KR17" s="42"/>
      <c r="KS17" s="42"/>
      <c r="KT17" s="42"/>
      <c r="KU17" s="42"/>
      <c r="KV17" s="42"/>
      <c r="KW17" s="42"/>
      <c r="KX17" s="42"/>
      <c r="KY17" s="42"/>
      <c r="KZ17" s="42"/>
      <c r="LA17" s="42"/>
      <c r="LB17" s="42"/>
      <c r="LC17" s="42"/>
      <c r="LD17" s="42"/>
      <c r="LE17" s="42"/>
      <c r="LF17" s="42"/>
      <c r="LG17" s="42"/>
      <c r="LH17" s="42"/>
      <c r="LI17" s="42"/>
      <c r="LJ17" s="42"/>
      <c r="LK17" s="42"/>
      <c r="LL17" s="42"/>
      <c r="LM17" s="42"/>
      <c r="LN17" s="42"/>
      <c r="LO17" s="42"/>
      <c r="LP17" s="42"/>
      <c r="LQ17" s="42"/>
      <c r="LR17" s="42"/>
      <c r="LS17" s="42"/>
      <c r="LT17" s="42"/>
      <c r="LU17" s="42"/>
      <c r="LV17" s="42"/>
      <c r="LW17" s="42"/>
      <c r="LX17" s="42"/>
      <c r="LY17" s="42"/>
      <c r="LZ17" s="42"/>
      <c r="MA17" s="42"/>
      <c r="MB17" s="42"/>
      <c r="MC17" s="42"/>
      <c r="MD17" s="42"/>
      <c r="ME17" s="42"/>
      <c r="MF17" s="42"/>
      <c r="MG17" s="42"/>
      <c r="MH17" s="42"/>
      <c r="MI17" s="42"/>
      <c r="MJ17" s="42"/>
      <c r="MK17" s="42"/>
      <c r="ML17" s="42"/>
      <c r="MM17" s="42"/>
      <c r="MN17" s="42"/>
      <c r="MO17" s="42"/>
      <c r="MP17" s="42"/>
      <c r="MQ17" s="42"/>
      <c r="MR17" s="42"/>
      <c r="MS17" s="42"/>
      <c r="MT17" s="42"/>
      <c r="MU17" s="42"/>
      <c r="MV17" s="42"/>
      <c r="MW17" s="42"/>
      <c r="MX17" s="42"/>
      <c r="MY17" s="42"/>
      <c r="MZ17" s="42"/>
      <c r="NA17" s="42"/>
      <c r="NB17" s="42"/>
      <c r="NC17" s="42"/>
      <c r="ND17" s="42"/>
      <c r="NE17" s="42"/>
      <c r="NF17" s="42"/>
      <c r="NG17" s="42"/>
      <c r="NH17" s="42"/>
      <c r="NI17" s="42"/>
      <c r="NJ17" s="42"/>
      <c r="NK17" s="42"/>
      <c r="NL17" s="42"/>
      <c r="NM17" s="42"/>
      <c r="NN17" s="42"/>
      <c r="NO17" s="42"/>
      <c r="NP17" s="42"/>
      <c r="NQ17" s="42"/>
      <c r="NR17" s="42"/>
      <c r="NS17" s="42"/>
      <c r="NT17" s="42"/>
      <c r="NU17" s="42"/>
      <c r="NV17" s="42"/>
      <c r="NW17" s="42"/>
      <c r="NX17" s="42"/>
      <c r="NY17" s="42"/>
      <c r="NZ17" s="42"/>
      <c r="OA17" s="42"/>
      <c r="OB17" s="42"/>
      <c r="OC17" s="42"/>
      <c r="OD17" s="42"/>
      <c r="OE17" s="42"/>
      <c r="OF17" s="42"/>
      <c r="OG17" s="42"/>
      <c r="OH17" s="42"/>
      <c r="OI17" s="42"/>
      <c r="OJ17" s="42"/>
      <c r="OK17" s="42"/>
      <c r="OL17" s="42"/>
      <c r="OM17" s="42"/>
      <c r="ON17" s="42"/>
      <c r="OO17" s="42"/>
      <c r="OP17" s="42"/>
      <c r="OQ17" s="42"/>
      <c r="OR17" s="42"/>
      <c r="OS17" s="42"/>
      <c r="OT17" s="42"/>
      <c r="OU17" s="42"/>
      <c r="OV17" s="42"/>
      <c r="OW17" s="42"/>
      <c r="OX17" s="42"/>
      <c r="OY17" s="42"/>
      <c r="OZ17" s="42"/>
      <c r="PA17" s="42"/>
      <c r="PB17" s="42"/>
      <c r="PC17" s="42"/>
      <c r="PD17" s="42"/>
      <c r="PE17" s="42"/>
      <c r="PF17" s="42"/>
      <c r="PG17" s="42"/>
      <c r="PH17" s="42"/>
      <c r="PI17" s="42"/>
      <c r="PJ17" s="42"/>
      <c r="PK17" s="42"/>
      <c r="PL17" s="42"/>
      <c r="PM17" s="42"/>
      <c r="PN17" s="42"/>
      <c r="PO17" s="42"/>
      <c r="PP17" s="42"/>
      <c r="PQ17" s="42"/>
      <c r="PR17" s="42"/>
      <c r="PS17" s="42"/>
      <c r="PT17" s="42"/>
      <c r="PU17" s="42"/>
      <c r="PV17" s="42"/>
      <c r="PW17" s="42"/>
      <c r="PX17" s="42"/>
      <c r="PY17" s="42"/>
      <c r="PZ17" s="42"/>
      <c r="QA17" s="42"/>
      <c r="QB17" s="42"/>
      <c r="QC17" s="42"/>
      <c r="QD17" s="42"/>
      <c r="QE17" s="42"/>
      <c r="QF17" s="42"/>
      <c r="QG17" s="42"/>
      <c r="QH17" s="42"/>
      <c r="QI17" s="42"/>
      <c r="QJ17" s="42"/>
      <c r="QK17" s="42"/>
      <c r="QL17" s="42"/>
      <c r="QM17" s="42"/>
      <c r="QN17" s="42"/>
      <c r="QO17" s="42"/>
      <c r="QP17" s="42"/>
      <c r="QQ17" s="42"/>
      <c r="QR17" s="42"/>
      <c r="QS17" s="42"/>
      <c r="QT17" s="42"/>
      <c r="QU17" s="42"/>
      <c r="QV17" s="42"/>
      <c r="QW17" s="42"/>
      <c r="QX17" s="42"/>
      <c r="QY17" s="42"/>
      <c r="QZ17" s="42"/>
      <c r="RA17" s="42"/>
      <c r="RB17" s="42"/>
      <c r="RC17" s="42"/>
      <c r="RD17" s="42"/>
      <c r="RE17" s="42"/>
      <c r="RF17" s="42"/>
      <c r="RG17" s="42"/>
      <c r="RH17" s="42"/>
      <c r="RI17" s="42"/>
      <c r="RJ17" s="42"/>
      <c r="RK17" s="42"/>
      <c r="RL17" s="42"/>
      <c r="RM17" s="42"/>
      <c r="RN17" s="42"/>
      <c r="RO17" s="42"/>
      <c r="RP17" s="42"/>
      <c r="RQ17" s="42"/>
      <c r="RR17" s="42"/>
      <c r="RS17" s="42"/>
      <c r="RT17" s="42"/>
      <c r="RU17" s="42"/>
      <c r="RV17" s="42"/>
      <c r="RW17" s="42"/>
      <c r="RX17" s="42"/>
      <c r="RY17" s="42"/>
      <c r="RZ17" s="42"/>
      <c r="SA17" s="42"/>
      <c r="SB17" s="42"/>
      <c r="SC17" s="42"/>
      <c r="SD17" s="42"/>
      <c r="SE17" s="42"/>
      <c r="SF17" s="42"/>
      <c r="SG17" s="42"/>
      <c r="SH17" s="42"/>
      <c r="SI17" s="42"/>
      <c r="SJ17" s="42"/>
      <c r="SK17" s="42"/>
      <c r="SL17" s="42"/>
      <c r="SM17" s="42"/>
      <c r="SN17" s="42"/>
      <c r="SO17" s="42"/>
      <c r="SP17" s="42"/>
      <c r="SQ17" s="42"/>
      <c r="SR17" s="42"/>
      <c r="SS17" s="42"/>
      <c r="ST17" s="42"/>
      <c r="SU17" s="42"/>
      <c r="SV17" s="42"/>
      <c r="SW17" s="42"/>
      <c r="SX17" s="42"/>
      <c r="SY17" s="42"/>
      <c r="SZ17" s="42"/>
      <c r="TA17" s="42"/>
      <c r="TB17" s="42"/>
      <c r="TC17" s="42"/>
      <c r="TD17" s="42"/>
      <c r="TE17" s="42"/>
      <c r="TF17" s="42"/>
      <c r="TG17" s="42"/>
      <c r="TH17" s="42"/>
      <c r="TI17" s="42"/>
      <c r="TJ17" s="42"/>
      <c r="TK17" s="42"/>
      <c r="TL17" s="42"/>
      <c r="TM17" s="42"/>
      <c r="TN17" s="42"/>
      <c r="TO17" s="42"/>
      <c r="TP17" s="42"/>
      <c r="TQ17" s="42"/>
      <c r="TR17" s="42"/>
      <c r="TS17" s="42"/>
      <c r="TT17" s="42"/>
      <c r="TU17" s="42"/>
      <c r="TV17" s="42"/>
      <c r="TW17" s="42"/>
      <c r="TX17" s="42"/>
      <c r="TY17" s="42"/>
      <c r="TZ17" s="42"/>
      <c r="UA17" s="42"/>
      <c r="UB17" s="42"/>
      <c r="UC17" s="42"/>
      <c r="UD17" s="42"/>
      <c r="UE17" s="42"/>
      <c r="UF17" s="42"/>
      <c r="UG17" s="42"/>
      <c r="UH17" s="42"/>
      <c r="UI17" s="42"/>
      <c r="UJ17" s="42"/>
      <c r="UK17" s="42"/>
      <c r="UL17" s="42"/>
      <c r="UM17" s="42"/>
      <c r="UN17" s="42"/>
      <c r="UO17" s="42"/>
      <c r="UP17" s="42"/>
      <c r="UQ17" s="42"/>
      <c r="UR17" s="42"/>
      <c r="US17" s="42"/>
      <c r="UT17" s="42"/>
      <c r="UU17" s="42"/>
      <c r="UV17" s="42"/>
      <c r="UW17" s="42"/>
      <c r="UX17" s="42"/>
      <c r="UY17" s="42"/>
      <c r="UZ17" s="42"/>
      <c r="VA17" s="42"/>
      <c r="VB17" s="42"/>
      <c r="VC17" s="42"/>
      <c r="VD17" s="42"/>
      <c r="VE17" s="42"/>
      <c r="VF17" s="42"/>
      <c r="VG17" s="42"/>
      <c r="VH17" s="42"/>
      <c r="VI17" s="42"/>
      <c r="VJ17" s="42"/>
      <c r="VK17" s="42"/>
      <c r="VL17" s="42"/>
      <c r="VM17" s="42"/>
      <c r="VN17" s="42"/>
      <c r="VO17" s="42"/>
      <c r="VP17" s="42"/>
      <c r="VQ17" s="42"/>
      <c r="VR17" s="42"/>
      <c r="VS17" s="42"/>
      <c r="VT17" s="42"/>
      <c r="VU17" s="42"/>
      <c r="VV17" s="42"/>
      <c r="VW17" s="42"/>
      <c r="VX17" s="42"/>
      <c r="VY17" s="42"/>
      <c r="VZ17" s="42"/>
      <c r="WA17" s="42"/>
      <c r="WB17" s="42"/>
      <c r="WC17" s="42"/>
      <c r="WD17" s="42"/>
      <c r="WE17" s="42"/>
      <c r="WF17" s="42"/>
      <c r="WG17" s="42"/>
      <c r="WH17" s="42"/>
      <c r="WI17" s="42"/>
      <c r="WJ17" s="42"/>
      <c r="WK17" s="42"/>
      <c r="WL17" s="42"/>
      <c r="WM17" s="42"/>
      <c r="WN17" s="42"/>
      <c r="WO17" s="42"/>
      <c r="WP17" s="42"/>
      <c r="WQ17" s="42"/>
      <c r="WR17" s="42"/>
      <c r="WS17" s="42"/>
      <c r="WT17" s="42"/>
      <c r="WU17" s="42"/>
      <c r="WV17" s="42"/>
      <c r="WW17" s="42"/>
      <c r="WX17" s="42"/>
      <c r="WY17" s="42"/>
      <c r="WZ17" s="42"/>
      <c r="XA17" s="42"/>
      <c r="XB17" s="42"/>
      <c r="XC17" s="42"/>
      <c r="XD17" s="42"/>
      <c r="XE17" s="42"/>
      <c r="XF17" s="42"/>
      <c r="XG17" s="42"/>
      <c r="XH17" s="42"/>
      <c r="XI17" s="42"/>
      <c r="XJ17" s="42"/>
      <c r="XK17" s="42"/>
      <c r="XL17" s="42"/>
      <c r="XM17" s="42"/>
      <c r="XN17" s="42"/>
      <c r="XO17" s="42"/>
      <c r="XP17" s="42"/>
      <c r="XQ17" s="42"/>
      <c r="XR17" s="42"/>
      <c r="XS17" s="42"/>
      <c r="XT17" s="42"/>
      <c r="XU17" s="42"/>
      <c r="XV17" s="42"/>
      <c r="XW17" s="42"/>
      <c r="XX17" s="42"/>
      <c r="XY17" s="42"/>
      <c r="XZ17" s="42"/>
      <c r="YA17" s="42"/>
      <c r="YB17" s="42"/>
      <c r="YC17" s="42"/>
      <c r="YD17" s="42"/>
      <c r="YE17" s="42"/>
      <c r="YF17" s="42"/>
      <c r="YG17" s="42"/>
      <c r="YH17" s="42"/>
      <c r="YI17" s="42"/>
      <c r="YJ17" s="42"/>
      <c r="YK17" s="42"/>
      <c r="YL17" s="42"/>
      <c r="YM17" s="42"/>
      <c r="YN17" s="42"/>
      <c r="YO17" s="42"/>
      <c r="YP17" s="42"/>
      <c r="YQ17" s="42"/>
      <c r="YR17" s="42"/>
      <c r="YS17" s="42"/>
      <c r="YT17" s="42"/>
      <c r="YU17" s="42"/>
      <c r="YV17" s="42"/>
      <c r="YW17" s="42"/>
      <c r="YX17" s="42"/>
      <c r="YY17" s="42"/>
      <c r="YZ17" s="42"/>
      <c r="ZA17" s="42"/>
      <c r="ZB17" s="42"/>
      <c r="ZC17" s="42"/>
      <c r="ZD17" s="42"/>
      <c r="ZE17" s="42"/>
      <c r="ZF17" s="42"/>
      <c r="ZG17" s="42"/>
      <c r="ZH17" s="42"/>
      <c r="ZI17" s="42"/>
      <c r="ZJ17" s="42"/>
      <c r="ZK17" s="42"/>
      <c r="ZL17" s="42"/>
      <c r="ZM17" s="42"/>
      <c r="ZN17" s="42"/>
      <c r="ZO17" s="42"/>
      <c r="ZP17" s="42"/>
      <c r="ZQ17" s="42"/>
      <c r="ZR17" s="42"/>
      <c r="ZS17" s="42"/>
      <c r="ZT17" s="42"/>
      <c r="ZU17" s="42"/>
      <c r="ZV17" s="42"/>
      <c r="ZW17" s="42"/>
      <c r="ZX17" s="71"/>
      <c r="ZY17" s="19"/>
    </row>
    <row r="18">
      <c r="A18" s="72"/>
      <c r="B18" s="73" t="s">
        <v>34</v>
      </c>
      <c r="C18" s="74"/>
      <c r="D18" s="74"/>
      <c r="E18" s="75"/>
      <c r="F18" s="61"/>
      <c r="ZX18" s="18" t="s">
        <v>24</v>
      </c>
      <c r="ZY18" s="19"/>
    </row>
    <row r="19">
      <c r="A19" s="76"/>
      <c r="B19" s="77" t="s">
        <v>35</v>
      </c>
      <c r="C19" s="38" t="s">
        <v>9</v>
      </c>
      <c r="D19" s="39">
        <v>1700.0</v>
      </c>
      <c r="E19" s="40">
        <v>45.0</v>
      </c>
      <c r="F19" s="41">
        <f t="shared" ref="F19:F21" si="3">ROUND(D19*E19,2)</f>
        <v>76500</v>
      </c>
      <c r="G19" s="78" t="s">
        <v>36</v>
      </c>
      <c r="H19" s="47"/>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47"/>
      <c r="BB19" s="47"/>
      <c r="BC19" s="47"/>
      <c r="BD19" s="47"/>
      <c r="BE19" s="47"/>
      <c r="BF19" s="47"/>
      <c r="BG19" s="47"/>
      <c r="BH19" s="47"/>
      <c r="BI19" s="47"/>
      <c r="BJ19" s="47"/>
      <c r="BK19" s="47"/>
      <c r="BL19" s="47"/>
      <c r="BM19" s="47"/>
      <c r="BN19" s="47"/>
      <c r="BO19" s="47"/>
      <c r="BP19" s="47"/>
      <c r="BQ19" s="47"/>
      <c r="BR19" s="47"/>
      <c r="BS19" s="47"/>
      <c r="BT19" s="47"/>
      <c r="BU19" s="47"/>
      <c r="BV19" s="47"/>
      <c r="BW19" s="47"/>
      <c r="BX19" s="47"/>
      <c r="BY19" s="47"/>
      <c r="BZ19" s="47"/>
      <c r="CA19" s="47"/>
      <c r="CB19" s="47"/>
      <c r="CC19" s="47"/>
      <c r="CD19" s="47"/>
      <c r="CE19" s="47"/>
      <c r="CF19" s="47"/>
      <c r="CG19" s="47"/>
      <c r="CH19" s="47"/>
      <c r="CI19" s="47"/>
      <c r="CJ19" s="47"/>
      <c r="CK19" s="47"/>
      <c r="CL19" s="47"/>
      <c r="CM19" s="47"/>
      <c r="CN19" s="47"/>
      <c r="CO19" s="47"/>
      <c r="CP19" s="47"/>
      <c r="CQ19" s="47"/>
      <c r="CR19" s="47"/>
      <c r="CS19" s="47"/>
      <c r="CT19" s="47"/>
      <c r="CU19" s="47"/>
      <c r="CV19" s="47"/>
      <c r="CW19" s="47"/>
      <c r="CX19" s="47"/>
      <c r="CY19" s="47"/>
      <c r="CZ19" s="47"/>
      <c r="DA19" s="47"/>
      <c r="DB19" s="47"/>
      <c r="DC19" s="47"/>
      <c r="DD19" s="47"/>
      <c r="DE19" s="47"/>
      <c r="DF19" s="47"/>
      <c r="DG19" s="47"/>
      <c r="DH19" s="47"/>
      <c r="DI19" s="47"/>
      <c r="DJ19" s="47"/>
      <c r="DK19" s="47"/>
      <c r="DL19" s="47"/>
      <c r="DM19" s="47"/>
      <c r="DN19" s="47"/>
      <c r="DO19" s="47"/>
      <c r="DP19" s="47"/>
      <c r="DQ19" s="47"/>
      <c r="DR19" s="47"/>
      <c r="DS19" s="47"/>
      <c r="DT19" s="47"/>
      <c r="DU19" s="47"/>
      <c r="DV19" s="47"/>
      <c r="DW19" s="47"/>
      <c r="DX19" s="47"/>
      <c r="DY19" s="47"/>
      <c r="DZ19" s="47"/>
      <c r="EA19" s="47"/>
      <c r="EB19" s="47"/>
      <c r="EC19" s="47"/>
      <c r="ED19" s="47"/>
      <c r="EE19" s="47"/>
      <c r="EF19" s="47"/>
      <c r="EG19" s="47"/>
      <c r="EH19" s="47"/>
      <c r="EI19" s="47"/>
      <c r="EJ19" s="47"/>
      <c r="EK19" s="47"/>
      <c r="EL19" s="47"/>
      <c r="EM19" s="47"/>
      <c r="EN19" s="47"/>
      <c r="EO19" s="47"/>
      <c r="EP19" s="47"/>
      <c r="EQ19" s="47"/>
      <c r="ER19" s="47"/>
      <c r="ES19" s="47"/>
      <c r="ET19" s="47"/>
      <c r="EU19" s="47"/>
      <c r="EV19" s="47"/>
      <c r="EW19" s="47"/>
      <c r="EX19" s="47"/>
      <c r="EY19" s="47"/>
      <c r="EZ19" s="47"/>
      <c r="FA19" s="47"/>
      <c r="FB19" s="47"/>
      <c r="FC19" s="47"/>
      <c r="FD19" s="47"/>
      <c r="FE19" s="47"/>
      <c r="FF19" s="47"/>
      <c r="FG19" s="47"/>
      <c r="FH19" s="47"/>
      <c r="FI19" s="47"/>
      <c r="FJ19" s="47"/>
      <c r="FK19" s="47"/>
      <c r="FL19" s="47"/>
      <c r="FM19" s="47"/>
      <c r="FN19" s="47"/>
      <c r="FO19" s="47"/>
      <c r="FP19" s="47"/>
      <c r="FQ19" s="47"/>
      <c r="FR19" s="47"/>
      <c r="FS19" s="47"/>
      <c r="FT19" s="47"/>
      <c r="FU19" s="47"/>
      <c r="FV19" s="47"/>
      <c r="FW19" s="47"/>
      <c r="FX19" s="47"/>
      <c r="FY19" s="47"/>
      <c r="FZ19" s="47"/>
      <c r="GA19" s="47"/>
      <c r="GB19" s="47"/>
      <c r="GC19" s="47"/>
      <c r="GD19" s="47"/>
      <c r="GE19" s="47"/>
      <c r="GF19" s="47"/>
      <c r="GG19" s="47"/>
      <c r="GH19" s="47"/>
      <c r="GI19" s="47"/>
      <c r="GJ19" s="47"/>
      <c r="GK19" s="47"/>
      <c r="GL19" s="47"/>
      <c r="GM19" s="47"/>
      <c r="GN19" s="47"/>
      <c r="GO19" s="47"/>
      <c r="GP19" s="47"/>
      <c r="GQ19" s="47"/>
      <c r="GR19" s="47"/>
      <c r="GS19" s="47"/>
      <c r="GT19" s="47"/>
      <c r="GU19" s="47"/>
      <c r="GV19" s="47"/>
      <c r="GW19" s="47"/>
      <c r="GX19" s="47"/>
      <c r="GY19" s="47"/>
      <c r="GZ19" s="47"/>
      <c r="HA19" s="47"/>
      <c r="HB19" s="47"/>
      <c r="HC19" s="47"/>
      <c r="HD19" s="47"/>
      <c r="HE19" s="47"/>
      <c r="HF19" s="47"/>
      <c r="HG19" s="47"/>
      <c r="HH19" s="47"/>
      <c r="HI19" s="47"/>
      <c r="HJ19" s="47"/>
      <c r="HK19" s="47"/>
      <c r="HL19" s="47"/>
      <c r="HM19" s="47"/>
      <c r="HN19" s="47"/>
      <c r="HO19" s="47"/>
      <c r="HP19" s="47"/>
      <c r="HQ19" s="47"/>
      <c r="HR19" s="47"/>
      <c r="HS19" s="47"/>
      <c r="HT19" s="47"/>
      <c r="HU19" s="47"/>
      <c r="HV19" s="47"/>
      <c r="HW19" s="47"/>
      <c r="HX19" s="47"/>
      <c r="HY19" s="47"/>
      <c r="HZ19" s="47"/>
      <c r="IA19" s="47"/>
      <c r="IB19" s="47"/>
      <c r="IC19" s="47"/>
      <c r="ID19" s="47"/>
      <c r="IE19" s="47"/>
      <c r="IF19" s="47"/>
      <c r="IG19" s="47"/>
      <c r="IH19" s="47"/>
      <c r="II19" s="47"/>
      <c r="IJ19" s="47"/>
      <c r="IK19" s="47"/>
      <c r="IL19" s="47"/>
      <c r="IM19" s="47"/>
      <c r="IN19" s="47"/>
      <c r="IO19" s="47"/>
      <c r="IP19" s="47"/>
      <c r="IQ19" s="47"/>
      <c r="IR19" s="47"/>
      <c r="IS19" s="47"/>
      <c r="IT19" s="47"/>
      <c r="IU19" s="47"/>
      <c r="IV19" s="47"/>
      <c r="IW19" s="47"/>
      <c r="IX19" s="47"/>
      <c r="IY19" s="47"/>
      <c r="IZ19" s="47"/>
      <c r="JA19" s="47"/>
      <c r="JB19" s="47"/>
      <c r="JC19" s="47"/>
      <c r="JD19" s="47"/>
      <c r="JE19" s="47"/>
      <c r="JF19" s="47"/>
      <c r="JG19" s="47"/>
      <c r="JH19" s="47"/>
      <c r="JI19" s="47"/>
      <c r="JJ19" s="47"/>
      <c r="JK19" s="47"/>
      <c r="JL19" s="47"/>
      <c r="JM19" s="47"/>
      <c r="JN19" s="47"/>
      <c r="JO19" s="47"/>
      <c r="JP19" s="47"/>
      <c r="JQ19" s="47"/>
      <c r="JR19" s="47"/>
      <c r="JS19" s="47"/>
      <c r="JT19" s="47"/>
      <c r="JU19" s="47"/>
      <c r="JV19" s="47"/>
      <c r="JW19" s="47"/>
      <c r="JX19" s="47"/>
      <c r="JY19" s="47"/>
      <c r="JZ19" s="47"/>
      <c r="KA19" s="47"/>
      <c r="KB19" s="47"/>
      <c r="KC19" s="47"/>
      <c r="KD19" s="47"/>
      <c r="KE19" s="47"/>
      <c r="KF19" s="47"/>
      <c r="KG19" s="47"/>
      <c r="KH19" s="47"/>
      <c r="KI19" s="47"/>
      <c r="KJ19" s="47"/>
      <c r="KK19" s="47"/>
      <c r="KL19" s="47"/>
      <c r="KM19" s="47"/>
      <c r="KN19" s="47"/>
      <c r="KO19" s="47"/>
      <c r="KP19" s="47"/>
      <c r="KQ19" s="47"/>
      <c r="KR19" s="47"/>
      <c r="KS19" s="47"/>
      <c r="KT19" s="47"/>
      <c r="KU19" s="47"/>
      <c r="KV19" s="47"/>
      <c r="KW19" s="47"/>
      <c r="KX19" s="47"/>
      <c r="KY19" s="47"/>
      <c r="KZ19" s="47"/>
      <c r="LA19" s="47"/>
      <c r="LB19" s="47"/>
      <c r="LC19" s="47"/>
      <c r="LD19" s="47"/>
      <c r="LE19" s="47"/>
      <c r="LF19" s="47"/>
      <c r="LG19" s="47"/>
      <c r="LH19" s="47"/>
      <c r="LI19" s="47"/>
      <c r="LJ19" s="47"/>
      <c r="LK19" s="47"/>
      <c r="LL19" s="47"/>
      <c r="LM19" s="47"/>
      <c r="LN19" s="47"/>
      <c r="LO19" s="47"/>
      <c r="LP19" s="47"/>
      <c r="LQ19" s="47"/>
      <c r="LR19" s="47"/>
      <c r="LS19" s="47"/>
      <c r="LT19" s="47"/>
      <c r="LU19" s="47"/>
      <c r="LV19" s="47"/>
      <c r="LW19" s="47"/>
      <c r="LX19" s="47"/>
      <c r="LY19" s="47"/>
      <c r="LZ19" s="47"/>
      <c r="MA19" s="47"/>
      <c r="MB19" s="47"/>
      <c r="MC19" s="47"/>
      <c r="MD19" s="47"/>
      <c r="ME19" s="47"/>
      <c r="MF19" s="47"/>
      <c r="MG19" s="47"/>
      <c r="MH19" s="47"/>
      <c r="MI19" s="47"/>
      <c r="MJ19" s="47"/>
      <c r="MK19" s="47"/>
      <c r="ML19" s="47"/>
      <c r="MM19" s="47"/>
      <c r="MN19" s="47"/>
      <c r="MO19" s="47"/>
      <c r="MP19" s="47"/>
      <c r="MQ19" s="47"/>
      <c r="MR19" s="47"/>
      <c r="MS19" s="47"/>
      <c r="MT19" s="47"/>
      <c r="MU19" s="47"/>
      <c r="MV19" s="47"/>
      <c r="MW19" s="47"/>
      <c r="MX19" s="47"/>
      <c r="MY19" s="47"/>
      <c r="MZ19" s="47"/>
      <c r="NA19" s="47"/>
      <c r="NB19" s="47"/>
      <c r="NC19" s="47"/>
      <c r="ND19" s="47"/>
      <c r="NE19" s="47"/>
      <c r="NF19" s="47"/>
      <c r="NG19" s="47"/>
      <c r="NH19" s="47"/>
      <c r="NI19" s="47"/>
      <c r="NJ19" s="47"/>
      <c r="NK19" s="47"/>
      <c r="NL19" s="47"/>
      <c r="NM19" s="47"/>
      <c r="NN19" s="47"/>
      <c r="NO19" s="47"/>
      <c r="NP19" s="47"/>
      <c r="NQ19" s="47"/>
      <c r="NR19" s="47"/>
      <c r="NS19" s="47"/>
      <c r="NT19" s="47"/>
      <c r="NU19" s="47"/>
      <c r="NV19" s="47"/>
      <c r="NW19" s="47"/>
      <c r="NX19" s="47"/>
      <c r="NY19" s="47"/>
      <c r="NZ19" s="47"/>
      <c r="OA19" s="47"/>
      <c r="OB19" s="47"/>
      <c r="OC19" s="47"/>
      <c r="OD19" s="47"/>
      <c r="OE19" s="47"/>
      <c r="OF19" s="47"/>
      <c r="OG19" s="47"/>
      <c r="OH19" s="47"/>
      <c r="OI19" s="47"/>
      <c r="OJ19" s="47"/>
      <c r="OK19" s="47"/>
      <c r="OL19" s="47"/>
      <c r="OM19" s="47"/>
      <c r="ON19" s="47"/>
      <c r="OO19" s="47"/>
      <c r="OP19" s="47"/>
      <c r="OQ19" s="47"/>
      <c r="OR19" s="47"/>
      <c r="OS19" s="47"/>
      <c r="OT19" s="47"/>
      <c r="OU19" s="47"/>
      <c r="OV19" s="47"/>
      <c r="OW19" s="47"/>
      <c r="OX19" s="47"/>
      <c r="OY19" s="47"/>
      <c r="OZ19" s="47"/>
      <c r="PA19" s="47"/>
      <c r="PB19" s="47"/>
      <c r="PC19" s="47"/>
      <c r="PD19" s="47"/>
      <c r="PE19" s="47"/>
      <c r="PF19" s="47"/>
      <c r="PG19" s="47"/>
      <c r="PH19" s="47"/>
      <c r="PI19" s="47"/>
      <c r="PJ19" s="47"/>
      <c r="PK19" s="47"/>
      <c r="PL19" s="47"/>
      <c r="PM19" s="47"/>
      <c r="PN19" s="47"/>
      <c r="PO19" s="47"/>
      <c r="PP19" s="47"/>
      <c r="PQ19" s="47"/>
      <c r="PR19" s="47"/>
      <c r="PS19" s="47"/>
      <c r="PT19" s="47"/>
      <c r="PU19" s="47"/>
      <c r="PV19" s="47"/>
      <c r="PW19" s="47"/>
      <c r="PX19" s="47"/>
      <c r="PY19" s="47"/>
      <c r="PZ19" s="47"/>
      <c r="QA19" s="47"/>
      <c r="QB19" s="47"/>
      <c r="QC19" s="47"/>
      <c r="QD19" s="47"/>
      <c r="QE19" s="47"/>
      <c r="QF19" s="47"/>
      <c r="QG19" s="47"/>
      <c r="QH19" s="47"/>
      <c r="QI19" s="47"/>
      <c r="QJ19" s="47"/>
      <c r="QK19" s="47"/>
      <c r="QL19" s="47"/>
      <c r="QM19" s="47"/>
      <c r="QN19" s="47"/>
      <c r="QO19" s="47"/>
      <c r="QP19" s="47"/>
      <c r="QQ19" s="47"/>
      <c r="QR19" s="47"/>
      <c r="QS19" s="47"/>
      <c r="QT19" s="47"/>
      <c r="QU19" s="47"/>
      <c r="QV19" s="47"/>
      <c r="QW19" s="47"/>
      <c r="QX19" s="47"/>
      <c r="QY19" s="47"/>
      <c r="QZ19" s="47"/>
      <c r="RA19" s="47"/>
      <c r="RB19" s="47"/>
      <c r="RC19" s="47"/>
      <c r="RD19" s="47"/>
      <c r="RE19" s="47"/>
      <c r="RF19" s="47"/>
      <c r="RG19" s="47"/>
      <c r="RH19" s="47"/>
      <c r="RI19" s="47"/>
      <c r="RJ19" s="47"/>
      <c r="RK19" s="47"/>
      <c r="RL19" s="47"/>
      <c r="RM19" s="47"/>
      <c r="RN19" s="47"/>
      <c r="RO19" s="47"/>
      <c r="RP19" s="47"/>
      <c r="RQ19" s="47"/>
      <c r="RR19" s="47"/>
      <c r="RS19" s="47"/>
      <c r="RT19" s="47"/>
      <c r="RU19" s="47"/>
      <c r="RV19" s="47"/>
      <c r="RW19" s="47"/>
      <c r="RX19" s="47"/>
      <c r="RY19" s="47"/>
      <c r="RZ19" s="47"/>
      <c r="SA19" s="47"/>
      <c r="SB19" s="47"/>
      <c r="SC19" s="47"/>
      <c r="SD19" s="47"/>
      <c r="SE19" s="47"/>
      <c r="SF19" s="47"/>
      <c r="SG19" s="47"/>
      <c r="SH19" s="47"/>
      <c r="SI19" s="47"/>
      <c r="SJ19" s="47"/>
      <c r="SK19" s="47"/>
      <c r="SL19" s="47"/>
      <c r="SM19" s="47"/>
      <c r="SN19" s="47"/>
      <c r="SO19" s="47"/>
      <c r="SP19" s="47"/>
      <c r="SQ19" s="47"/>
      <c r="SR19" s="47"/>
      <c r="SS19" s="47"/>
      <c r="ST19" s="47"/>
      <c r="SU19" s="47"/>
      <c r="SV19" s="47"/>
      <c r="SW19" s="47"/>
      <c r="SX19" s="47"/>
      <c r="SY19" s="47"/>
      <c r="SZ19" s="47"/>
      <c r="TA19" s="47"/>
      <c r="TB19" s="47"/>
      <c r="TC19" s="47"/>
      <c r="TD19" s="47"/>
      <c r="TE19" s="47"/>
      <c r="TF19" s="47"/>
      <c r="TG19" s="47"/>
      <c r="TH19" s="47"/>
      <c r="TI19" s="47"/>
      <c r="TJ19" s="47"/>
      <c r="TK19" s="47"/>
      <c r="TL19" s="47"/>
      <c r="TM19" s="47"/>
      <c r="TN19" s="47"/>
      <c r="TO19" s="47"/>
      <c r="TP19" s="47"/>
      <c r="TQ19" s="47"/>
      <c r="TR19" s="47"/>
      <c r="TS19" s="47"/>
      <c r="TT19" s="47"/>
      <c r="TU19" s="47"/>
      <c r="TV19" s="47"/>
      <c r="TW19" s="47"/>
      <c r="TX19" s="47"/>
      <c r="TY19" s="47"/>
      <c r="TZ19" s="47"/>
      <c r="UA19" s="47"/>
      <c r="UB19" s="47"/>
      <c r="UC19" s="47"/>
      <c r="UD19" s="47"/>
      <c r="UE19" s="47"/>
      <c r="UF19" s="47"/>
      <c r="UG19" s="47"/>
      <c r="UH19" s="47"/>
      <c r="UI19" s="47"/>
      <c r="UJ19" s="47"/>
      <c r="UK19" s="47"/>
      <c r="UL19" s="47"/>
      <c r="UM19" s="47"/>
      <c r="UN19" s="47"/>
      <c r="UO19" s="47"/>
      <c r="UP19" s="47"/>
      <c r="UQ19" s="47"/>
      <c r="UR19" s="47"/>
      <c r="US19" s="47"/>
      <c r="UT19" s="47"/>
      <c r="UU19" s="47"/>
      <c r="UV19" s="47"/>
      <c r="UW19" s="47"/>
      <c r="UX19" s="47"/>
      <c r="UY19" s="47"/>
      <c r="UZ19" s="47"/>
      <c r="VA19" s="47"/>
      <c r="VB19" s="47"/>
      <c r="VC19" s="47"/>
      <c r="VD19" s="47"/>
      <c r="VE19" s="47"/>
      <c r="VF19" s="47"/>
      <c r="VG19" s="47"/>
      <c r="VH19" s="47"/>
      <c r="VI19" s="47"/>
      <c r="VJ19" s="47"/>
      <c r="VK19" s="47"/>
      <c r="VL19" s="47"/>
      <c r="VM19" s="47"/>
      <c r="VN19" s="47"/>
      <c r="VO19" s="47"/>
      <c r="VP19" s="47"/>
      <c r="VQ19" s="47"/>
      <c r="VR19" s="47"/>
      <c r="VS19" s="47"/>
      <c r="VT19" s="47"/>
      <c r="VU19" s="47"/>
      <c r="VV19" s="47"/>
      <c r="VW19" s="47"/>
      <c r="VX19" s="47"/>
      <c r="VY19" s="47"/>
      <c r="VZ19" s="47"/>
      <c r="WA19" s="47"/>
      <c r="WB19" s="47"/>
      <c r="WC19" s="47"/>
      <c r="WD19" s="47"/>
      <c r="WE19" s="47"/>
      <c r="WF19" s="47"/>
      <c r="WG19" s="47"/>
      <c r="WH19" s="47"/>
      <c r="WI19" s="47"/>
      <c r="WJ19" s="47"/>
      <c r="WK19" s="47"/>
      <c r="WL19" s="47"/>
      <c r="WM19" s="47"/>
      <c r="WN19" s="47"/>
      <c r="WO19" s="47"/>
      <c r="WP19" s="47"/>
      <c r="WQ19" s="47"/>
      <c r="WR19" s="47"/>
      <c r="WS19" s="47"/>
      <c r="WT19" s="47"/>
      <c r="WU19" s="47"/>
      <c r="WV19" s="47"/>
      <c r="WW19" s="47"/>
      <c r="WX19" s="47"/>
      <c r="WY19" s="47"/>
      <c r="WZ19" s="47"/>
      <c r="XA19" s="47"/>
      <c r="XB19" s="47"/>
      <c r="XC19" s="47"/>
      <c r="XD19" s="47"/>
      <c r="XE19" s="47"/>
      <c r="XF19" s="47"/>
      <c r="XG19" s="47"/>
      <c r="XH19" s="47"/>
      <c r="XI19" s="47"/>
      <c r="XJ19" s="47"/>
      <c r="XK19" s="47"/>
      <c r="XL19" s="47"/>
      <c r="XM19" s="47"/>
      <c r="XN19" s="47"/>
      <c r="XO19" s="47"/>
      <c r="XP19" s="47"/>
      <c r="XQ19" s="47"/>
      <c r="XR19" s="47"/>
      <c r="XS19" s="47"/>
      <c r="XT19" s="47"/>
      <c r="XU19" s="47"/>
      <c r="XV19" s="47"/>
      <c r="XW19" s="47"/>
      <c r="XX19" s="47"/>
      <c r="XY19" s="47"/>
      <c r="XZ19" s="47"/>
      <c r="YA19" s="47"/>
      <c r="YB19" s="47"/>
      <c r="YC19" s="47"/>
      <c r="YD19" s="47"/>
      <c r="YE19" s="47"/>
      <c r="YF19" s="47"/>
      <c r="YG19" s="47"/>
      <c r="YH19" s="47"/>
      <c r="YI19" s="47"/>
      <c r="YJ19" s="47"/>
      <c r="YK19" s="47"/>
      <c r="YL19" s="47"/>
      <c r="YM19" s="47"/>
      <c r="YN19" s="47"/>
      <c r="YO19" s="47"/>
      <c r="YP19" s="47"/>
      <c r="YQ19" s="47"/>
      <c r="YR19" s="47"/>
      <c r="YS19" s="47"/>
      <c r="YT19" s="47"/>
      <c r="YU19" s="47"/>
      <c r="YV19" s="47"/>
      <c r="YW19" s="47"/>
      <c r="YX19" s="47"/>
      <c r="YY19" s="47"/>
      <c r="YZ19" s="47"/>
      <c r="ZA19" s="47"/>
      <c r="ZB19" s="47"/>
      <c r="ZC19" s="47"/>
      <c r="ZD19" s="47"/>
      <c r="ZE19" s="47"/>
      <c r="ZF19" s="47"/>
      <c r="ZG19" s="47"/>
      <c r="ZH19" s="47"/>
      <c r="ZI19" s="47"/>
      <c r="ZJ19" s="47"/>
      <c r="ZK19" s="47"/>
      <c r="ZL19" s="47"/>
      <c r="ZM19" s="47"/>
      <c r="ZN19" s="47"/>
      <c r="ZO19" s="47"/>
      <c r="ZP19" s="47"/>
      <c r="ZQ19" s="47"/>
      <c r="ZR19" s="47"/>
      <c r="ZS19" s="47"/>
      <c r="ZT19" s="47"/>
      <c r="ZU19" s="47"/>
      <c r="ZV19" s="47"/>
      <c r="ZW19" s="47"/>
      <c r="ZX19" s="65" t="s">
        <v>16</v>
      </c>
      <c r="ZY19" s="35" t="s">
        <v>37</v>
      </c>
    </row>
    <row r="20">
      <c r="A20" s="66"/>
      <c r="B20" s="79" t="s">
        <v>38</v>
      </c>
      <c r="C20" s="38" t="s">
        <v>9</v>
      </c>
      <c r="D20" s="39">
        <v>350.0</v>
      </c>
      <c r="E20" s="40">
        <v>38.0</v>
      </c>
      <c r="F20" s="41">
        <f t="shared" si="3"/>
        <v>13300</v>
      </c>
      <c r="ZY20" s="19"/>
    </row>
    <row r="21">
      <c r="A21" s="66"/>
      <c r="B21" s="79" t="s">
        <v>39</v>
      </c>
      <c r="C21" s="38" t="s">
        <v>1</v>
      </c>
      <c r="D21" s="39">
        <v>195.0</v>
      </c>
      <c r="E21" s="40">
        <v>130.0</v>
      </c>
      <c r="F21" s="41">
        <f t="shared" si="3"/>
        <v>25350</v>
      </c>
      <c r="G21" s="68"/>
      <c r="ZX21" s="18" t="s">
        <v>16</v>
      </c>
      <c r="ZY21" s="19" t="s">
        <v>40</v>
      </c>
    </row>
    <row r="22">
      <c r="A22" s="80"/>
      <c r="B22" s="81" t="s">
        <v>41</v>
      </c>
      <c r="C22" s="82"/>
      <c r="D22" s="83"/>
      <c r="E22" s="84"/>
      <c r="F22" s="61"/>
      <c r="ZX22" s="18" t="s">
        <v>16</v>
      </c>
      <c r="ZY22" s="19" t="s">
        <v>42</v>
      </c>
    </row>
    <row r="23">
      <c r="A23" s="66"/>
      <c r="B23" s="85" t="s">
        <v>43</v>
      </c>
      <c r="C23" s="38" t="s">
        <v>9</v>
      </c>
      <c r="D23" s="39">
        <v>2261.0</v>
      </c>
      <c r="E23" s="40">
        <v>10.0</v>
      </c>
      <c r="F23" s="41">
        <f t="shared" ref="F23:F27" si="4">ROUND(D23*E23,2)</f>
        <v>22610</v>
      </c>
      <c r="G23" s="68" t="s">
        <v>44</v>
      </c>
      <c r="ZY23" s="19"/>
    </row>
    <row r="24" ht="15.75" customHeight="1">
      <c r="A24" s="86"/>
      <c r="B24" s="87" t="s">
        <v>45</v>
      </c>
      <c r="C24" s="38" t="s">
        <v>9</v>
      </c>
      <c r="D24" s="63">
        <v>2349.0</v>
      </c>
      <c r="E24" s="40">
        <v>8.5</v>
      </c>
      <c r="F24" s="41">
        <f t="shared" si="4"/>
        <v>19966.5</v>
      </c>
      <c r="ZX24" s="18" t="s">
        <v>24</v>
      </c>
      <c r="ZY24" s="19"/>
    </row>
    <row r="25" ht="15.75" customHeight="1">
      <c r="A25" s="66"/>
      <c r="B25" s="88" t="s">
        <v>46</v>
      </c>
      <c r="C25" s="38" t="s">
        <v>9</v>
      </c>
      <c r="D25" s="39">
        <v>800.0</v>
      </c>
      <c r="E25" s="40">
        <v>12.0</v>
      </c>
      <c r="F25" s="41">
        <f t="shared" si="4"/>
        <v>9600</v>
      </c>
      <c r="ZY25" s="19"/>
    </row>
    <row r="26" ht="15.75" customHeight="1">
      <c r="A26" s="66"/>
      <c r="B26" s="88" t="s">
        <v>47</v>
      </c>
      <c r="C26" s="54" t="s">
        <v>48</v>
      </c>
      <c r="D26" s="39">
        <v>1200.0</v>
      </c>
      <c r="E26" s="40">
        <v>6.5</v>
      </c>
      <c r="F26" s="41">
        <f t="shared" si="4"/>
        <v>7800</v>
      </c>
      <c r="ZY26" s="19"/>
    </row>
    <row r="27" ht="15.75" customHeight="1">
      <c r="A27" s="66"/>
      <c r="B27" s="88" t="s">
        <v>49</v>
      </c>
      <c r="C27" s="54" t="s">
        <v>48</v>
      </c>
      <c r="D27" s="39">
        <v>1500.0</v>
      </c>
      <c r="E27" s="40">
        <v>4.5</v>
      </c>
      <c r="F27" s="41">
        <f t="shared" si="4"/>
        <v>6750</v>
      </c>
      <c r="G27" s="68" t="s">
        <v>50</v>
      </c>
      <c r="ZY27" s="19"/>
    </row>
    <row r="28" ht="15.75" customHeight="1">
      <c r="A28" s="80"/>
      <c r="B28" s="81" t="s">
        <v>51</v>
      </c>
      <c r="C28" s="82"/>
      <c r="D28" s="89"/>
      <c r="E28" s="84"/>
      <c r="F28" s="61"/>
      <c r="ZX28" s="18" t="s">
        <v>16</v>
      </c>
      <c r="ZY28" s="19" t="s">
        <v>52</v>
      </c>
    </row>
    <row r="29">
      <c r="A29" s="66"/>
      <c r="B29" s="79" t="s">
        <v>53</v>
      </c>
      <c r="C29" s="38" t="s">
        <v>48</v>
      </c>
      <c r="D29" s="63">
        <v>450.0</v>
      </c>
      <c r="E29" s="40">
        <v>55.0</v>
      </c>
      <c r="F29" s="41">
        <f t="shared" ref="F29:F32" si="5">ROUND(D29*E29,2)</f>
        <v>24750</v>
      </c>
      <c r="G29" s="68" t="s">
        <v>54</v>
      </c>
      <c r="ZX29" s="18" t="s">
        <v>24</v>
      </c>
      <c r="ZY29" s="19"/>
    </row>
    <row r="30" ht="27.0" customHeight="1">
      <c r="A30" s="42"/>
      <c r="B30" s="79" t="s">
        <v>55</v>
      </c>
      <c r="C30" s="38" t="s">
        <v>1</v>
      </c>
      <c r="D30" s="90">
        <v>270.0</v>
      </c>
      <c r="E30" s="91">
        <v>45.0</v>
      </c>
      <c r="F30" s="41">
        <f t="shared" si="5"/>
        <v>12150</v>
      </c>
      <c r="G30" s="68" t="s">
        <v>56</v>
      </c>
      <c r="ZX30" s="18" t="s">
        <v>16</v>
      </c>
      <c r="ZY30" s="19" t="s">
        <v>57</v>
      </c>
    </row>
    <row r="31" ht="27.75" customHeight="1">
      <c r="A31" s="86"/>
      <c r="B31" s="79" t="s">
        <v>58</v>
      </c>
      <c r="C31" s="38" t="s">
        <v>48</v>
      </c>
      <c r="D31" s="63">
        <v>350.0</v>
      </c>
      <c r="E31" s="40">
        <v>48.0</v>
      </c>
      <c r="F31" s="41">
        <f t="shared" si="5"/>
        <v>16800</v>
      </c>
      <c r="G31" s="70" t="s">
        <v>59</v>
      </c>
      <c r="ZX31" s="18" t="s">
        <v>24</v>
      </c>
      <c r="ZY31" s="19"/>
    </row>
    <row r="32" ht="31.5" customHeight="1">
      <c r="A32" s="66"/>
      <c r="B32" s="79" t="s">
        <v>60</v>
      </c>
      <c r="C32" s="38" t="s">
        <v>48</v>
      </c>
      <c r="D32" s="39">
        <v>180.0</v>
      </c>
      <c r="E32" s="40">
        <v>42.0</v>
      </c>
      <c r="F32" s="41">
        <f t="shared" si="5"/>
        <v>7560</v>
      </c>
      <c r="ZX32" s="18" t="s">
        <v>16</v>
      </c>
      <c r="ZY32" s="19" t="s">
        <v>61</v>
      </c>
    </row>
    <row r="33" ht="15.75" customHeight="1">
      <c r="A33" s="80"/>
      <c r="B33" s="81" t="s">
        <v>62</v>
      </c>
      <c r="C33" s="82"/>
      <c r="D33" s="83"/>
      <c r="E33" s="84"/>
      <c r="F33" s="61"/>
      <c r="ZY33" s="19"/>
    </row>
    <row r="34">
      <c r="A34" s="86"/>
      <c r="B34" s="67" t="s">
        <v>63</v>
      </c>
      <c r="C34" s="38" t="s">
        <v>48</v>
      </c>
      <c r="D34" s="63">
        <v>270.0</v>
      </c>
      <c r="E34" s="40">
        <v>115.0</v>
      </c>
      <c r="F34" s="41">
        <f t="shared" ref="F34:F39" si="6">ROUND(D34*E34,2)</f>
        <v>31050</v>
      </c>
      <c r="G34" s="68" t="s">
        <v>64</v>
      </c>
      <c r="ZX34" s="18" t="s">
        <v>24</v>
      </c>
      <c r="ZY34" s="19"/>
    </row>
    <row r="35" ht="27.75" customHeight="1">
      <c r="A35" s="66"/>
      <c r="B35" s="67" t="s">
        <v>65</v>
      </c>
      <c r="C35" s="38" t="s">
        <v>1</v>
      </c>
      <c r="D35" s="39">
        <v>30.0</v>
      </c>
      <c r="E35" s="40">
        <v>125.0</v>
      </c>
      <c r="F35" s="41">
        <f t="shared" si="6"/>
        <v>3750</v>
      </c>
      <c r="G35" s="68" t="s">
        <v>66</v>
      </c>
      <c r="ZX35" s="18" t="s">
        <v>16</v>
      </c>
      <c r="ZY35" s="19" t="s">
        <v>67</v>
      </c>
    </row>
    <row r="36" ht="28.5" customHeight="1">
      <c r="A36" s="66"/>
      <c r="B36" s="67" t="s">
        <v>68</v>
      </c>
      <c r="C36" s="38" t="s">
        <v>1</v>
      </c>
      <c r="D36" s="39">
        <v>240.0</v>
      </c>
      <c r="E36" s="40">
        <v>12.0</v>
      </c>
      <c r="F36" s="41">
        <f t="shared" si="6"/>
        <v>2880</v>
      </c>
      <c r="G36" s="68" t="s">
        <v>69</v>
      </c>
      <c r="ZY36" s="19"/>
    </row>
    <row r="37" ht="28.5" customHeight="1">
      <c r="A37" s="66"/>
      <c r="B37" s="67" t="s">
        <v>70</v>
      </c>
      <c r="C37" s="38" t="s">
        <v>48</v>
      </c>
      <c r="D37" s="39">
        <v>2100.0</v>
      </c>
      <c r="E37" s="40">
        <v>8.5</v>
      </c>
      <c r="F37" s="41">
        <f t="shared" si="6"/>
        <v>17850</v>
      </c>
      <c r="G37" s="68" t="s">
        <v>71</v>
      </c>
      <c r="ZY37" s="19"/>
    </row>
    <row r="38" ht="32.25" customHeight="1">
      <c r="A38" s="86"/>
      <c r="B38" s="92" t="s">
        <v>72</v>
      </c>
      <c r="C38" s="63" t="s">
        <v>31</v>
      </c>
      <c r="D38" s="63">
        <v>1.0</v>
      </c>
      <c r="E38" s="40">
        <v>1800.0</v>
      </c>
      <c r="F38" s="41">
        <f t="shared" si="6"/>
        <v>1800</v>
      </c>
      <c r="ZX38" s="18" t="s">
        <v>24</v>
      </c>
      <c r="ZY38" s="19"/>
    </row>
    <row r="39" ht="62.25" customHeight="1">
      <c r="A39" s="93"/>
      <c r="B39" s="94" t="s">
        <v>73</v>
      </c>
      <c r="C39" s="95" t="s">
        <v>31</v>
      </c>
      <c r="D39" s="95">
        <v>2.0</v>
      </c>
      <c r="E39" s="96">
        <v>2450.0</v>
      </c>
      <c r="F39" s="41">
        <f t="shared" si="6"/>
        <v>4900</v>
      </c>
      <c r="ZX39" s="18"/>
      <c r="ZY39" s="19"/>
    </row>
    <row r="40" ht="24.75" customHeight="1">
      <c r="A40" s="97"/>
      <c r="B40" s="98" t="s">
        <v>74</v>
      </c>
      <c r="C40" s="99" t="s">
        <v>75</v>
      </c>
      <c r="D40" s="99">
        <v>1.0</v>
      </c>
      <c r="E40" s="100">
        <v>12458.0</v>
      </c>
      <c r="F40" s="101">
        <v>12458.0</v>
      </c>
      <c r="G40" s="68" t="s">
        <v>76</v>
      </c>
      <c r="ZX40" s="18"/>
      <c r="ZY40" s="19"/>
    </row>
    <row r="41" ht="15.75" customHeight="1">
      <c r="A41" s="102"/>
      <c r="B41" s="103"/>
      <c r="C41" s="104"/>
      <c r="D41" s="104"/>
      <c r="E41" s="105"/>
      <c r="F41" s="103"/>
    </row>
    <row r="42" ht="15.75" customHeight="1">
      <c r="A42" s="106"/>
      <c r="B42" s="107" t="s">
        <v>77</v>
      </c>
      <c r="C42" s="108"/>
      <c r="D42" s="108"/>
      <c r="E42" s="109"/>
      <c r="F42" s="110">
        <f>SUBTOTAL(109,F6:F40)</f>
        <v>842979.25</v>
      </c>
      <c r="ZX42" s="18" t="s">
        <v>78</v>
      </c>
    </row>
    <row r="43" ht="15.75" customHeight="1">
      <c r="A43" s="106"/>
      <c r="B43" s="107" t="s">
        <v>79</v>
      </c>
      <c r="C43" s="108"/>
      <c r="D43" s="108"/>
      <c r="E43" s="109"/>
      <c r="F43" s="111">
        <v>0.2</v>
      </c>
      <c r="ZX43" s="18" t="s">
        <v>80</v>
      </c>
    </row>
    <row r="44" ht="15.75" customHeight="1">
      <c r="A44" s="106"/>
      <c r="B44" s="107" t="s">
        <v>81</v>
      </c>
      <c r="C44" s="108"/>
      <c r="D44" s="108"/>
      <c r="E44" s="109"/>
      <c r="F44" s="110">
        <f>(F42*F43)</f>
        <v>168595.85</v>
      </c>
      <c r="ZX44" s="18" t="s">
        <v>82</v>
      </c>
    </row>
    <row r="45" ht="15.75" customHeight="1">
      <c r="A45" s="106"/>
      <c r="B45" s="107" t="s">
        <v>83</v>
      </c>
      <c r="C45" s="108"/>
      <c r="D45" s="108"/>
      <c r="E45" s="109"/>
      <c r="F45" s="110">
        <f>F42+F44</f>
        <v>1011575.1</v>
      </c>
      <c r="ZX45" s="18" t="s">
        <v>84</v>
      </c>
    </row>
    <row r="46" ht="15.75" customHeight="1">
      <c r="A46" s="106"/>
      <c r="C46" s="108"/>
      <c r="D46" s="108"/>
      <c r="E46" s="109"/>
      <c r="F46" s="110"/>
    </row>
    <row r="47" ht="15.75" customHeight="1">
      <c r="A47" s="106"/>
      <c r="B47" s="112" t="s">
        <v>85</v>
      </c>
      <c r="C47" s="113"/>
      <c r="D47" s="108"/>
      <c r="E47" s="109"/>
    </row>
    <row r="48" ht="15.75" customHeight="1">
      <c r="A48" s="106"/>
      <c r="B48" s="112" t="s">
        <v>86</v>
      </c>
      <c r="C48" s="114"/>
      <c r="D48" s="115"/>
      <c r="E48" s="109"/>
    </row>
    <row r="49" ht="15.75" customHeight="1">
      <c r="A49" s="106"/>
      <c r="B49" s="112" t="s">
        <v>87</v>
      </c>
      <c r="C49" s="113"/>
      <c r="D49" s="108"/>
      <c r="E49" s="109"/>
    </row>
  </sheetData>
  <mergeCells count="1">
    <mergeCell ref="A1:F1"/>
  </mergeCells>
  <printOptions horizontalCentered="1"/>
  <pageMargins bottom="0.06" footer="0.0" header="0.0" left="0.06" right="0.06" top="0.06"/>
  <pageSetup fitToHeight="0"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2023-03-11T14:00:03Z</dcterms:created>
  <dc:creator>Yannick</dc:creator>
</cp:coreProperties>
</file>